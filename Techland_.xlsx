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228"/>
  <workbookPr/>
  <mc:AlternateContent xmlns:mc="http://schemas.openxmlformats.org/markup-compatibility/2006">
    <mc:Choice Requires="x15">
      <x15ac:absPath xmlns:x15ac="http://schemas.microsoft.com/office/spreadsheetml/2010/11/ac" url="https://d.docs.live.net/0b3979b79145612d/Desktop/"/>
    </mc:Choice>
  </mc:AlternateContent>
  <xr:revisionPtr revIDLastSave="94" documentId="13_ncr:1_{0FD82D16-B0E1-472F-BAAC-A11638207211}" xr6:coauthVersionLast="47" xr6:coauthVersionMax="47" xr10:uidLastSave="{41F55FB6-FCF1-42EF-A991-1FF42F0F0CB5}"/>
  <bookViews>
    <workbookView xWindow="9560" yWindow="150" windowWidth="9550" windowHeight="9760" activeTab="1" xr2:uid="{00000000-000D-0000-FFFF-FFFF00000000}"/>
  </bookViews>
  <sheets>
    <sheet name="Mind Maps " sheetId="2" r:id="rId1"/>
    <sheet name="TestCase" sheetId="4" r:id="rId2"/>
    <sheet name="Test Summary Report" sheetId="5" r:id="rId3"/>
    <sheet name="Bug Report" sheetId="9" r:id="rId4"/>
  </sheets>
  <definedNames>
    <definedName name="_xlnm._FilterDatabase" localSheetId="3" hidden="1">'Bug Report'!$F$2:$F$13</definedName>
    <definedName name="Google_Sheet_Link_1871615868" hidden="1">Remember_Me_checkbox_error</definedName>
    <definedName name="Remember_Me_checkbox_error">TestCase!$J$60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12" roundtripDataChecksum="CwB+yuM1f4bNDg+RAc4MPjQqp6ZNHXZI3g2R0Qy5XJU="/>
    </ext>
  </extLst>
</workbook>
</file>

<file path=xl/calcChain.xml><?xml version="1.0" encoding="utf-8"?>
<calcChain xmlns="http://schemas.openxmlformats.org/spreadsheetml/2006/main">
  <c r="M4" i="4" l="1"/>
  <c r="E15" i="5" s="1"/>
  <c r="E16" i="5" s="1"/>
  <c r="I10" i="5" s="1"/>
  <c r="M5" i="4"/>
  <c r="F15" i="5" s="1"/>
  <c r="F16" i="5" s="1"/>
  <c r="I11" i="5" s="1"/>
  <c r="M3" i="4"/>
  <c r="D15" i="5" s="1"/>
  <c r="D16" i="5" s="1"/>
  <c r="I9" i="5" s="1"/>
  <c r="M2" i="4"/>
  <c r="C15" i="5" s="1"/>
  <c r="C16" i="5" s="1"/>
  <c r="I8" i="5" s="1"/>
  <c r="M6" i="4" l="1"/>
  <c r="G15" i="5" s="1"/>
  <c r="G16" i="5" s="1"/>
  <c r="I12" i="5" s="1"/>
</calcChain>
</file>

<file path=xl/sharedStrings.xml><?xml version="1.0" encoding="utf-8"?>
<sst xmlns="http://schemas.openxmlformats.org/spreadsheetml/2006/main" count="587" uniqueCount="395">
  <si>
    <t>P0</t>
  </si>
  <si>
    <t>P1</t>
  </si>
  <si>
    <t>Product Name</t>
  </si>
  <si>
    <t>TC Start Date</t>
  </si>
  <si>
    <t>TC Execution Start Date</t>
  </si>
  <si>
    <t>TEST CASE</t>
  </si>
  <si>
    <t>Module Name</t>
  </si>
  <si>
    <t>TC End Date</t>
  </si>
  <si>
    <t>TC Execution End Date</t>
  </si>
  <si>
    <t>PASS</t>
  </si>
  <si>
    <t>Epic</t>
  </si>
  <si>
    <t>Test Case Developed By</t>
  </si>
  <si>
    <t>Browser (tested)</t>
  </si>
  <si>
    <t>Yes</t>
  </si>
  <si>
    <t>FAIL</t>
  </si>
  <si>
    <t>Developer Name (TL)</t>
  </si>
  <si>
    <t>Test Case Reviewed By</t>
  </si>
  <si>
    <t>Performance (tested)</t>
  </si>
  <si>
    <t>Test Executed by</t>
  </si>
  <si>
    <t>BLOCKED</t>
  </si>
  <si>
    <t>TOTAL</t>
  </si>
  <si>
    <t>#SL</t>
  </si>
  <si>
    <t>Module</t>
  </si>
  <si>
    <t>Type of Testing</t>
  </si>
  <si>
    <t>Features</t>
  </si>
  <si>
    <t>Test Cases</t>
  </si>
  <si>
    <t>Exepected  Result</t>
  </si>
  <si>
    <t>Actual Result</t>
  </si>
  <si>
    <t>Test Data</t>
  </si>
  <si>
    <t>Reproducing
Steps</t>
  </si>
  <si>
    <t xml:space="preserve">Bugs Screen Shot </t>
  </si>
  <si>
    <t>Final Status</t>
  </si>
  <si>
    <t>Remarks</t>
  </si>
  <si>
    <t xml:space="preserve">Account </t>
  </si>
  <si>
    <t>Browser 
Compatibility Testing</t>
  </si>
  <si>
    <t>Should be run in different browsers.</t>
  </si>
  <si>
    <t>Found as per expectation.</t>
  </si>
  <si>
    <t>Passed</t>
  </si>
  <si>
    <t>None</t>
  </si>
  <si>
    <t xml:space="preserve"> Should be present the mandatory field .</t>
  </si>
  <si>
    <t xml:space="preserve">Verify the displayed element are in alignment from. </t>
  </si>
  <si>
    <t>Elements should be in aligment from. .</t>
  </si>
  <si>
    <t>1. Goto the URL
https://www.startech.com.bd/
2. Click on the Account button in the right corner.
3. Click the "Register" link and check * this sign.</t>
  </si>
  <si>
    <t>Should be as per the client requirement</t>
  </si>
  <si>
    <t>A text should appear over the fields.</t>
  </si>
  <si>
    <t>The title should be as client requirement</t>
  </si>
  <si>
    <t>Fields should be in empty position.</t>
  </si>
  <si>
    <t>when hovering the button should be changed the color.</t>
  </si>
  <si>
    <t>Failed</t>
  </si>
  <si>
    <t>N/A</t>
  </si>
  <si>
    <t>Test Case Report</t>
  </si>
  <si>
    <t xml:space="preserve">   Project Name   </t>
  </si>
  <si>
    <t xml:space="preserve">Module Name   </t>
  </si>
  <si>
    <t xml:space="preserve">Feature Name   </t>
  </si>
  <si>
    <t>Test Case Version</t>
  </si>
  <si>
    <t>Written By</t>
  </si>
  <si>
    <t>Executed By</t>
  </si>
  <si>
    <t>Reviewed By</t>
  </si>
  <si>
    <t>TEST EXECUTION REPORT</t>
  </si>
  <si>
    <t>Test Case</t>
  </si>
  <si>
    <t>Total TC</t>
  </si>
  <si>
    <t xml:space="preserve">Grand Total  </t>
  </si>
  <si>
    <t>LIMITATIONS</t>
  </si>
  <si>
    <t>Documents</t>
  </si>
  <si>
    <t xml:space="preserve">Received </t>
  </si>
  <si>
    <t>Useful</t>
  </si>
  <si>
    <t>PRD</t>
  </si>
  <si>
    <t>No</t>
  </si>
  <si>
    <t>USER STORY</t>
  </si>
  <si>
    <t>Testing Type
in Scope</t>
  </si>
  <si>
    <t>Description</t>
  </si>
  <si>
    <t>Yes/ No.
Justification (If No):</t>
  </si>
  <si>
    <t>Functional Testing</t>
  </si>
  <si>
    <t>This type of testing ignores the internal parts and focuses only on the output to check if it is as per the requirement or not.</t>
  </si>
  <si>
    <t>Integration Testing</t>
  </si>
  <si>
    <t>Testing of all integrated modules to verify the combined functionality after integration is termed as Integration Testing.</t>
  </si>
  <si>
    <t>Negative Testing</t>
  </si>
  <si>
    <t>Testing having the mindset of “attitude to break” using incorrect data and invalid inputs.</t>
  </si>
  <si>
    <t>Usability Testing</t>
  </si>
  <si>
    <t>Test application from user friendliness perspective.</t>
  </si>
  <si>
    <t>Browser Compatibility Testing</t>
  </si>
  <si>
    <t>Browser Compatibility Testing is performed for web applications and it ensures that the software can run with the combination of different browser and operating system. This type of testing also validates whether web application runs on all versions of all browsers or not.</t>
  </si>
  <si>
    <t>Boundary Value Testing</t>
  </si>
  <si>
    <t>There is an upper and lower boundary for each range and testing is performed on these boundary values.</t>
  </si>
  <si>
    <t>Risk Based Testing
Or
Regression Testing</t>
  </si>
  <si>
    <t>Risk-Based Testing includes testing of highly critical functionality, which has the highest impact on business and in which the probability of failure is very high.
Testing an application as a whole for the modification in any module or functionality is termed as Regression Testing.</t>
  </si>
  <si>
    <t>xx</t>
  </si>
  <si>
    <t>Techland</t>
  </si>
  <si>
    <t>Imratul Islam Rakhi</t>
  </si>
  <si>
    <t xml:space="preserve"> </t>
  </si>
  <si>
    <t>Tested Browsers-
Chrome, 
 Mozilla Firefox,
 Internet Explorer,
Microsoft Edge,
Brave.</t>
  </si>
  <si>
    <t>1. Go to browsers.
2. Search 'https://www.techlandbd.com/' 
3. Go to the website.</t>
  </si>
  <si>
    <t>Checking by running the URL in different browsers.</t>
  </si>
  <si>
    <t>Create An Account</t>
  </si>
  <si>
    <t>Verify the alignment of displayed elements on the registration page should be compatible in cross browsers testing.</t>
  </si>
  <si>
    <t>Should be a clckable on the "Register" button.</t>
  </si>
  <si>
    <t>1. Goto the URL
'https://www.techlandbd.com/
2. Click on the Account button in the right corner.
3. Click the "Create An Account" button</t>
  </si>
  <si>
    <t>Verify all register-related elements and fields are present on the registration page.</t>
  </si>
  <si>
    <t>1. Goto the URL
'https://www.techlandbd.com/
2. Click on the Account button in the right corner.
3. Click the "Create An Account" button and check the spelling and grammatical mistakes.</t>
  </si>
  <si>
    <t>1. Goto the URL
'https://www.techlandbd.com/
2. Click on the Account button in the right corner.
3. Click the "Create An Account" button and check * this sign.</t>
  </si>
  <si>
    <t>Verify that the size, color, and UI of different elements should match the specifications.</t>
  </si>
  <si>
    <t>Verify that the login page of the application is responsive and aligns properly on different screen resolutions and devices</t>
  </si>
  <si>
    <t>1. Goto the URL
'https://www.techlandbd.com/
2. Click on the Account button in the right corner.
3. Click the "Create An Account" button and check  Hover over every fields.</t>
  </si>
  <si>
    <t>Verify registration page title.</t>
  </si>
  <si>
    <t>1. Goto the URL
'https://www.techlandbd.com/
2. Click on the Account button in the right corner.
3. Click the "Create An Account" button and check the input fields.</t>
  </si>
  <si>
    <t>1. Goto the URL
'https://www.techlandbd.com/
2. Click on the Account button in the right corner.
3. Click the "Create An Account" button and check the page title.</t>
  </si>
  <si>
    <t>Verify the fields are empty postion.</t>
  </si>
  <si>
    <t>Verify each fields has correct placeholders.</t>
  </si>
  <si>
    <t>Fields should have correct placeholders.</t>
  </si>
  <si>
    <t>Verify the " Register" button hovering or not.</t>
  </si>
  <si>
    <t>1. Goto the URL
'https://www.techlandbd.com/
2. Click on the Account button in the right corner.
3. Click the "Create An Account" button and check the "Register" button..</t>
  </si>
  <si>
    <t>There should be a clickable link  for this action.</t>
  </si>
  <si>
    <t>Verify the name field doesn't support special character.</t>
  </si>
  <si>
    <t>The name field should not support special character.</t>
  </si>
  <si>
    <t>The name field support special character</t>
  </si>
  <si>
    <t>Name : @#$%</t>
  </si>
  <si>
    <t>1. Goto the URL
'https://www.techlandbd.com/
2. Click on the Account button in the right corner.
3. Click the "Create An Account" button.
4. Enter "@#$%" in Name field.</t>
  </si>
  <si>
    <t>Field  validation error message should be displayed for name field in registration page.</t>
  </si>
  <si>
    <t>No field  validation error message is  displayed.</t>
  </si>
  <si>
    <t>Name : R@him</t>
  </si>
  <si>
    <t>1. Goto the URL
'https://www.techlandbd.com/
2. Click on the Account button in the right corner.
3. Click the "Create An Account" button.
4. Enter "R@hm" in Name field.</t>
  </si>
  <si>
    <t>Verify the phone number field only allow 11 digits and not more.</t>
  </si>
  <si>
    <t>Phone number field should not allow  more than 11 digits.</t>
  </si>
  <si>
    <t>Phone number field allows  more than 11 digits.</t>
  </si>
  <si>
    <t>Phone Number: 013456789123456789123456789</t>
  </si>
  <si>
    <t>1. Goto the URL
'https://www.techlandbd.com/
2. Click on the Account button in the right corner.
3. Click the "Create An Account" button.
4. Enter "013456789123456789123456789" in Phone Number field.</t>
  </si>
  <si>
    <t>Verify the phone number field doesn't support any special character and alphabet.</t>
  </si>
  <si>
    <t>Phone number field should not support any special character and alphabet.</t>
  </si>
  <si>
    <t>Phone number: abt12@!$%^11987635ddfs</t>
  </si>
  <si>
    <t>1. Goto the URL
'https://www.techlandbd.com/
2. Click on the Account button in the right corner.
3. Click the "Create An Account" button.
4. Enter "abt12@!$%^11987635ddfs" in Phone Number field.</t>
  </si>
  <si>
    <t>Phone number field supporst  special characters and alphabets.</t>
  </si>
  <si>
    <t>Verify input validation error message is displayed for wrong input in phone number field.</t>
  </si>
  <si>
    <t>Input validation error message is not displayed for alphabets and special character input in phone number field.</t>
  </si>
  <si>
    <t>Verify field validation error message is displayed for wrong input name field in registration page.</t>
  </si>
  <si>
    <t>Verify input validation error message is displayed for wrong input in Email field.</t>
  </si>
  <si>
    <t>Input validation error message should be displayed for alphabets and special character input in phone number field.</t>
  </si>
  <si>
    <t>Input validation error message should be displayed for alphabets and special character input in email  field.</t>
  </si>
  <si>
    <t>Input validation error message is displayed for alphabets and special character input in email  field.</t>
  </si>
  <si>
    <t>Email: kamrul.islam.20</t>
  </si>
  <si>
    <t>1. Goto the URL
'https://www.techlandbd.com/
2. Click on the Account button in the right corner.
3. Click the "Create An Account" button.
4. Enter "kamrul.islam.20" in Email field.</t>
  </si>
  <si>
    <t>Input validation message is displayed for wrong input in Email field after clicking on "Register" button.</t>
  </si>
  <si>
    <t>Verify input validation message is displayed for wrong input in Email field after clicking on "Register" button.</t>
  </si>
  <si>
    <t>Input validation message should be displayed for wrong input in Email field after clicking on "Register" button.</t>
  </si>
  <si>
    <t>1. Goto the URL
'https://www.techlandbd.com/
2. Click on the Account button in the right corner.
3. Click the "Create An Account" button.
4. Enter valid data for Name, Phone number field and password field.
5. Enter "kamrul.islam.20" in Email field.
6. Click on "Register" button.</t>
  </si>
  <si>
    <t>Input validation message should be displayed for wrong input in Name field after clicking on "Register" button.</t>
  </si>
  <si>
    <t>Name: K@mru1
Phone number: 01234567QW$#</t>
  </si>
  <si>
    <t>1. Goto the URL
'https://www.techlandbd.com/
2. Click on the Account button in the right corner.
3. Click the "Create An Account" button.
4. Enter invalid data for Name, Phone number field and emaiil field.
5. Enter valid password in Password field.
6. Click on "Register" button.</t>
  </si>
  <si>
    <t>Verify input validation message is displayed for wrong input in Name and phone number field after clicking on "Register" button.</t>
  </si>
  <si>
    <t>Verify that there is a "Click here to login" link on the registration page.</t>
  </si>
  <si>
    <t>Verify that the required field validation message is displayed upon clicking on "Register" button without filling any field.</t>
  </si>
  <si>
    <t>Required field validation message is displayed if "Register" button is clicked without filling any fields.</t>
  </si>
  <si>
    <t>Required field validation message should be displayed if "Register" button is clicked without filling any fields.</t>
  </si>
  <si>
    <t>1. Goto the URL
'https://www.techlandbd.com/
2. Click on the Account button in the right corner.
3. Click the "Create An Account" button and check the "Click here to login" link.</t>
  </si>
  <si>
    <t>1. Goto the URL
'https://www.techlandbd.com/
2. Click on the Account button in the right corner.
3. Click the "Create An Account" button and check the "Click here to login" link.
4. click on "Register" button without fillng any fields</t>
  </si>
  <si>
    <t>1. Goto the URL
'https://www.techlandbd.com/
2. Click on the Account button in the right corner.
3. Click the "Create An Account" button.
4. Check Password field.</t>
  </si>
  <si>
    <t>Verify password field rejects passwords shorter than 8 characters.</t>
  </si>
  <si>
    <t>The system should show a validation error and should not submit the form.</t>
  </si>
  <si>
    <t>The system is not showing  validation error and  the form can be submitted.</t>
  </si>
  <si>
    <t>The system should show a validation error.</t>
  </si>
  <si>
    <t>Verify system behavior when entering a password shorter than 8 characters and submitting the form.</t>
  </si>
  <si>
    <t>The system is showing a validation error.</t>
  </si>
  <si>
    <t>Password: 123
Repeat Password: 123</t>
  </si>
  <si>
    <t>1. Goto the URL
'https://www.techlandbd.com/
2. Click on the Account button in the right corner.
3. Click the "Create An Account" button.
4. Enter "123" in password and Repeat password field.</t>
  </si>
  <si>
    <t>1. Goto the URL
'https://www.techlandbd.com/
2. Click on the Account button in the right corner.
3. Click the "Create An Account" button.
4. Enter "123" in password and Repeat password field.
5. Click on "Register" button.</t>
  </si>
  <si>
    <t>Verify password field validation message matches minimum length requirement.</t>
  </si>
  <si>
    <t>Password field validation message should matche minimum length requirement.</t>
  </si>
  <si>
    <t>Password field validation message doen't matche minimum length requirement.</t>
  </si>
  <si>
    <t>Verify error message is displayed when password and repeat password do not match.</t>
  </si>
  <si>
    <t>Error message is displayed when password and repeat password do not match.</t>
  </si>
  <si>
    <t>Error message should be displayed when password and repeat password do not match.</t>
  </si>
  <si>
    <t>Password: 123456
Repeat Password: 1234</t>
  </si>
  <si>
    <t>Verify that the password instruction text is placed just above the password field.</t>
  </si>
  <si>
    <t>There should be an password instruction message above the password field.</t>
  </si>
  <si>
    <t>There is an password instruction message above the password field.</t>
  </si>
  <si>
    <t>Verify eye icon toggles password visibility</t>
  </si>
  <si>
    <t>On first click password should become visible in plain text and on second click password should become masked again.</t>
  </si>
  <si>
    <t>Eye icon is working as expected</t>
  </si>
  <si>
    <t>Password: 123456
Repeat Password: 123456</t>
  </si>
  <si>
    <t>1. Goto the URL
'https://www.techlandbd.com/
2. Click on the Account button in the right corner.
3. Click the "Create An Account" button.
4. Enter password and Repeat password field.
5. Click on "Register" button.</t>
  </si>
  <si>
    <t>Verify system behavior when entering valid data.</t>
  </si>
  <si>
    <t>User should be navigated to user dashboard.</t>
  </si>
  <si>
    <t>User is navigated to user dashboard.</t>
  </si>
  <si>
    <t>Name: Rafik Islam
Phone number: 01521589557
Email address: rafikislam@gmail.com 
Password: 12345678
Repeat Password: 12345678</t>
  </si>
  <si>
    <t>1. Goto the URL
'https://www.techlandbd.com/
2. Click on the Account button in the right corner.
3. Click the "Create An Account" button.
4. Enter valid data.
5. Click on "Register" button.</t>
  </si>
  <si>
    <t>Verify registration with existing phone number and email address.</t>
  </si>
  <si>
    <t>Error message should be displayed.</t>
  </si>
  <si>
    <t>Error message is  displayed.</t>
  </si>
  <si>
    <t>Name: Nurul Islam
Phone number: 01521589557
Email address: rafikislam@gmail.com 
Password: 12345678
Repeat Password: 12345678</t>
  </si>
  <si>
    <t>1. Goto the URL
'https://www.techlandbd.com/
2. Click on the Account button in the right corner.
3. Click the "Create An Account" button.
4. Enter name, password but exixting email &amp; phone number.
5. Click on "Register" button.</t>
  </si>
  <si>
    <t>Login</t>
  </si>
  <si>
    <t>Verify all login-related fields are present on the login page.</t>
  </si>
  <si>
    <t>Mendatory fields like Phone number and password field should be present.</t>
  </si>
  <si>
    <t>Found as expected</t>
  </si>
  <si>
    <t>1. Goto the URL
'https://www.techlandbd.com/
2. Click on the Account button in the right corner.
3. Click the "Click to Login" button and check the login page.</t>
  </si>
  <si>
    <t>Elements should be in aligment from.</t>
  </si>
  <si>
    <t>Verify popup message is displayed when clicked on login button without filling phone number &amp; password field.</t>
  </si>
  <si>
    <t>Popup message should be showen for filling phone number &amp; password field.</t>
  </si>
  <si>
    <t>Not found as per expectation.</t>
  </si>
  <si>
    <t>Warning</t>
  </si>
  <si>
    <t>Login Popup Error</t>
  </si>
  <si>
    <t>Verify popup message is displayed when clicked on login button filling phone number &amp; not password field.</t>
  </si>
  <si>
    <t>Popup message should be showen for filling required password field.</t>
  </si>
  <si>
    <t>Popup message is showen for filling required password field.</t>
  </si>
  <si>
    <t>1. Goto the URL
'https://www.techlandbd.com/
2. Click on the Account button in the right corner.
3. Click the "Click to Login" button.
4. Click "Login" button.</t>
  </si>
  <si>
    <t>1. Goto the URL
'https://www.techlandbd.com/
2. Click on the Account button in the right corner.
3. Click the "Click to Login" button.
4. Enter Phone number on phone number field.
5. Click on "Login" button.</t>
  </si>
  <si>
    <t>Verify popup message is displayed when clicked on login button filling password &amp; not phone number field.</t>
  </si>
  <si>
    <t>Popup message should be showen for filling required phone number field.</t>
  </si>
  <si>
    <t>Popup message is showen for filling required phone number field.</t>
  </si>
  <si>
    <t>Phone Number: 01521589557
Password: Blank</t>
  </si>
  <si>
    <t>Phone Number: Blank
Password: 12345678</t>
  </si>
  <si>
    <t>1. Goto the URL
'https://www.techlandbd.com/
2. Click on the Account button in the right corner.
3. Click the "Click to Login" button.
4. Enter Password on Password field.
5. Click on "Login" button.</t>
  </si>
  <si>
    <t>OTP should be sent to valid Phone number</t>
  </si>
  <si>
    <t>No OTP is sent to given phone number</t>
  </si>
  <si>
    <t>Phone number: 01521589557</t>
  </si>
  <si>
    <t>1. Goto the URL
'https://www.techlandbd.com/login/
2. Click on the forgotten passwordr.
3. Enter valid phone number.</t>
  </si>
  <si>
    <t>Verify OTP is sent to given phone number.</t>
  </si>
  <si>
    <t>Verify OTP is sent to given email address.</t>
  </si>
  <si>
    <t>OTP should be sent to valid Email address.</t>
  </si>
  <si>
    <t>OTP is sent to give email address</t>
  </si>
  <si>
    <t>Varify login with valid phone number and password.</t>
  </si>
  <si>
    <t>Login should be successful.</t>
  </si>
  <si>
    <t>Login process is successfully done.</t>
  </si>
  <si>
    <t>Phone Number: 01521589557
Password: 12345678</t>
  </si>
  <si>
    <t>1. Goto the URL
'https://www.techlandbd.com/
2. Click on the Account button in the right corner.
3. Click the "Click to Login" button.
4. Enter Phone number and Password.
5. Click on "Login" button.</t>
  </si>
  <si>
    <t>Verify login with valid phone number and invalid password.</t>
  </si>
  <si>
    <t>User should be shown mismatched credentials message.</t>
  </si>
  <si>
    <t>User is shown mismatched credentials message.</t>
  </si>
  <si>
    <t>Phone Number: 01521589557
Password: 12345677</t>
  </si>
  <si>
    <t>Verify login with invalid phone number and valid password.</t>
  </si>
  <si>
    <t>Phone Number: 01521589550
Password: 12345678</t>
  </si>
  <si>
    <t>Verify login with invalid phone number and invalid password.</t>
  </si>
  <si>
    <t>Phone Number: 01521589550
Password: 123456780</t>
  </si>
  <si>
    <t>Dashboard</t>
  </si>
  <si>
    <t>Verify all the necessary elements are present in user dashboard.</t>
  </si>
  <si>
    <t>Necessary elements should be present in user dashboard.</t>
  </si>
  <si>
    <t>Necessary elements are present in user dashboard.</t>
  </si>
  <si>
    <t>Verify the functionality of 'Edit profile' button of 'My Profile' feature.</t>
  </si>
  <si>
    <t>User should be able to edit profile information.</t>
  </si>
  <si>
    <t>User is able to edit profile information.</t>
  </si>
  <si>
    <t>1. Goto the URL
'https://www.techlandbd.com/account/profile'
2. Check user dashboard elements.</t>
  </si>
  <si>
    <t>Verify users are landed on "My Profile" page by default.</t>
  </si>
  <si>
    <t>User should be landed on "My Profile" page.</t>
  </si>
  <si>
    <t>User is landed on "My Profile" page.</t>
  </si>
  <si>
    <t xml:space="preserve">1. Goto the URL
'https://www.techlandbd.com'
2. Login using valid phone number and password.
</t>
  </si>
  <si>
    <t>Verify User name can be successfully changed.</t>
  </si>
  <si>
    <t>User should be able to change name.</t>
  </si>
  <si>
    <t>User is able to change name</t>
  </si>
  <si>
    <t>Phone Number: 01521588557 
Password: 12345678</t>
  </si>
  <si>
    <t>1. Goto the URL
'https://www.techlandbd.com'
2. Login using valid phone number and password.
3. Click on 'Edit Profile' buttton.</t>
  </si>
  <si>
    <t>1. Goto the URL
'https://www.techlandbd.com'
2. Login using valid phone number and password.
3. Click on 'Edit Pofile' 
4. Change user name.</t>
  </si>
  <si>
    <t>Verify user can keep Email address field blank and update profile.</t>
  </si>
  <si>
    <t>User should not be allowed to keep email address field blank.</t>
  </si>
  <si>
    <t>User is shown "required field validation nessage"</t>
  </si>
  <si>
    <t xml:space="preserve">1. Goto Profile edit page 
 2. Keep the email field empty
3. Click on update button
</t>
  </si>
  <si>
    <t>Verify existing email address is not allowed.</t>
  </si>
  <si>
    <t>User should not be allowed to use existing email address.</t>
  </si>
  <si>
    <t>User is not allowed to use existing email address.</t>
  </si>
  <si>
    <t>1. Goto Profile edit page 
 2. Enter an existing  email.
3. Click on update button</t>
  </si>
  <si>
    <t>Verify existing phone number is not allowed.</t>
  </si>
  <si>
    <t>User should not be allowed to use existing phone number.</t>
  </si>
  <si>
    <t>User is not allowed to use existing phone number.</t>
  </si>
  <si>
    <t>1. Goto Profile edit page 
 2. Enter an existing  phone number.
3. Click on update button</t>
  </si>
  <si>
    <t>Verify Password can be changed successfully</t>
  </si>
  <si>
    <t>User should be able to change password.</t>
  </si>
  <si>
    <t>User is able to change password.</t>
  </si>
  <si>
    <t>Current Password: 12345678 
New Password: 0987654321</t>
  </si>
  <si>
    <t>1. Goto Dashboard page 
 2. Click on Password option.</t>
  </si>
  <si>
    <t>Verify successful login with updated password.</t>
  </si>
  <si>
    <t>User should be able to login with updated password..</t>
  </si>
  <si>
    <t>User is able to login with updated password</t>
  </si>
  <si>
    <t>Phone Number: 01521588557 
Password: 0987654321</t>
  </si>
  <si>
    <t xml:space="preserve">1. Goto the URL
'https://www.techlandbd.com'
2. Login using valid phone number and password.
</t>
  </si>
  <si>
    <t>Verify number or special characters are not allowed as the first digit in the name field.</t>
  </si>
  <si>
    <t>Number or special characters should not be allowed as the first digit in the name field.</t>
  </si>
  <si>
    <t>Not found as expected..</t>
  </si>
  <si>
    <t>Name: 12Rakhi / @rakhi</t>
  </si>
  <si>
    <t>[No OTP is received on phone number]</t>
  </si>
  <si>
    <t>Blocked</t>
  </si>
  <si>
    <t>Techland BD</t>
  </si>
  <si>
    <t xml:space="preserve">Imratul Islam Rakhi </t>
  </si>
  <si>
    <t>Defect ID</t>
  </si>
  <si>
    <t>Summary</t>
  </si>
  <si>
    <t>Steps to Reproduce</t>
  </si>
  <si>
    <t>Expected Result</t>
  </si>
  <si>
    <t>Severity</t>
  </si>
  <si>
    <t>Development Cost</t>
  </si>
  <si>
    <t>Attachment</t>
  </si>
  <si>
    <t>Registration page name field supports special character.</t>
  </si>
  <si>
    <t>In registration Name field validation error message is not displayed for wrong input in registration page.</t>
  </si>
  <si>
    <t>1. Goto the account registration page.
4. Enter "R@hm" in Name field.</t>
  </si>
  <si>
    <t>DF_ID_01</t>
  </si>
  <si>
    <t>DF_ID_03</t>
  </si>
  <si>
    <t>DF_ID_02</t>
  </si>
  <si>
    <t>DF_ID_04</t>
  </si>
  <si>
    <t>DF_ID_05</t>
  </si>
  <si>
    <t>DF_ID_06</t>
  </si>
  <si>
    <t>DF_ID_07</t>
  </si>
  <si>
    <t>DF_ID_08</t>
  </si>
  <si>
    <t>DF_ID_09</t>
  </si>
  <si>
    <t>DF_ID_10</t>
  </si>
  <si>
    <t>DF_ID_11</t>
  </si>
  <si>
    <t>1. Goto the account registration page.
2. Enter phone number "013456789123456789123456789" in Phone Number field.</t>
  </si>
  <si>
    <t>1. Goto the account registration page.
2. Enter "@#$%" in Name field.</t>
  </si>
  <si>
    <t>1. Goto the account registration page.
2. Enter "abt12@!$%^11987635ddfs" in Phone Number field.</t>
  </si>
  <si>
    <t>Password field accepts passwords shorter than 8 characters.</t>
  </si>
  <si>
    <t>Password field validation message do not matche minimum length requirement.</t>
  </si>
  <si>
    <t>Input validation error message is not displayed for wrong input in Email field.</t>
  </si>
  <si>
    <t>Input validation error message is not displayed for wrong input in phone number field.</t>
  </si>
  <si>
    <t>The phone number field in registration page supports special character and alphabet.</t>
  </si>
  <si>
    <t>The phone number field allows more than 11 digits.</t>
  </si>
  <si>
    <t>Input validation message is not displayed for wrong input in Name and phone number field after clicking on "Register" button.</t>
  </si>
  <si>
    <t>1. Goto the account registration page.
2. Enter invalid data for Name, Phone number field and emaiil field.
3. Enter valid password in Password field.
4. Click on "Register" button.</t>
  </si>
  <si>
    <t>1. Goto the account registration page.
2. Enter "123" in password and Repeat password field.
3. Click on "Register" button.</t>
  </si>
  <si>
    <t>1. Goto the account registration page.
2. Enter "123" in password and Repeat password field.</t>
  </si>
  <si>
    <t>1. Goto the account registration page.
2. Enter "kamrul.islam.20" in Email field.</t>
  </si>
  <si>
    <t>Popup message is not displayed when clicked on login button without filling phone number &amp; password field.</t>
  </si>
  <si>
    <t>1. Goto the account login page.
2. Keep all fields blank and click on "login" button.</t>
  </si>
  <si>
    <t>Password reset OTP is not sent to given phone number.</t>
  </si>
  <si>
    <t>1. Goto the account login page.
2. Click on the 'forgotten password' link.
3. Enter valid phone number.</t>
  </si>
  <si>
    <t>Critical</t>
  </si>
  <si>
    <t>High</t>
  </si>
  <si>
    <t>Low</t>
  </si>
  <si>
    <t>Medium</t>
  </si>
  <si>
    <t>Product Page</t>
  </si>
  <si>
    <t>Verify products can be sorted by names.</t>
  </si>
  <si>
    <t>User should be able to sort products name A&gt;Z and Z&gt;A</t>
  </si>
  <si>
    <t>User is able to sort products name in both A&gt;Z and Z&gt;A</t>
  </si>
  <si>
    <t>1. Goto the URL
'https://www.techlandbd.com'
2. Goto any category
3. Sort product by name.</t>
  </si>
  <si>
    <t>Verify products can be sorted by model.</t>
  </si>
  <si>
    <t>1. Goto the URL
'https://www.techlandbd.com'
2. Goto any category
3. Sort product by model.</t>
  </si>
  <si>
    <t>Verify products can be sorted by price.</t>
  </si>
  <si>
    <t>User should be able to sort products by model A&gt;Z and Z&gt;A</t>
  </si>
  <si>
    <t>User is able to sort products by model in both A&gt;Z and Z&gt;A</t>
  </si>
  <si>
    <t>User should be able to sort products by price Low&gt;High and High&gt;Low</t>
  </si>
  <si>
    <t>User is able to sort products by price Low&gt;High and High&gt;Low</t>
  </si>
  <si>
    <t>1. Goto the URL
'https://www.techlandbd.com'
2. Goto any category
3. Sort product by product price.</t>
  </si>
  <si>
    <t>Verify products can be filter by availability.</t>
  </si>
  <si>
    <t>User should be able to filter products by availability (In stock, Out of stock, Pre-order, Up-coming)</t>
  </si>
  <si>
    <t>User is able to filter products by availability (In stock, Out of stock, Pre-order, Up-coming)</t>
  </si>
  <si>
    <t xml:space="preserve">1. Goto the URL
'https://www.techlandbd.com'
2. Goto any category
3. Check Availability under filters.
</t>
  </si>
  <si>
    <t>Verify availability filter fuction is working properly.</t>
  </si>
  <si>
    <t>User should be able to filter products according to product availability like show only in stock or out of stock etc.</t>
  </si>
  <si>
    <t>User is able to filter products according to product availability like show only in stock or out of stock etc..</t>
  </si>
  <si>
    <t>1. Goto the URL
'https://www.techlandbd.com'
2. Goto any category
3. filter only in-stock or out of stock products.</t>
  </si>
  <si>
    <t>Verify number of products to be displayed in one page can be customize.</t>
  </si>
  <si>
    <t>User should be able to customize number of products to be displayed in one page.</t>
  </si>
  <si>
    <t>User is able to customize number of products to be displayed in one page.</t>
  </si>
  <si>
    <t xml:space="preserve">1. Goto the URL
'https://www.techlandbd.com'
2. Goto any category
3. Change number of products to be displayed in one page.
</t>
  </si>
  <si>
    <t>User should be able to add products to cart directly from product list.</t>
  </si>
  <si>
    <t>User is able to add products to cart directly from product list.</t>
  </si>
  <si>
    <t>1. Goto the URL
'https://www.techlandbd.com'
2. Goto any category
3. Add any product to cart from product list .</t>
  </si>
  <si>
    <t>Verify product can be added to cart directly from prodruct list without authentication.</t>
  </si>
  <si>
    <t>Verify product can be added to cart directly from prodruct list after authentication.</t>
  </si>
  <si>
    <t>User should not be able to add products to cart directly from product list and show login pop-up tab.</t>
  </si>
  <si>
    <t>User is not able to add products to cart directly from product list and is showing login pop-up tab.</t>
  </si>
  <si>
    <t>1. Goto the URL
'https://www.techlandbd.com'
2. Login with valid credentials.
3. Goto any category
4. Add any product to cart from product list .</t>
  </si>
  <si>
    <t>Verify products can be added to wishlist.</t>
  </si>
  <si>
    <t>User should be able to add products to wishlist.</t>
  </si>
  <si>
    <t>User is able to add products to wishlist.</t>
  </si>
  <si>
    <t>1. Goto the URL
'https://www.techlandbd.com'
2. Login with valid credentials.
3. Goto any category
4. Add any product to wishlist from product list .</t>
  </si>
  <si>
    <t>Verify multiple products can be added to compare</t>
  </si>
  <si>
    <t>User should be able to add multiple products to compare.</t>
  </si>
  <si>
    <t>User is able to add multiple products to compare.</t>
  </si>
  <si>
    <t>1. Goto the URL
'https://www.techlandbd.com'
2. Login with valid credentials.
3. Goto any category
4. Add multiple products to compare from product list .</t>
  </si>
  <si>
    <t>Verify a product can not be added multiple times to compare.</t>
  </si>
  <si>
    <t>User should not be able to add a product to compare for multiple times.</t>
  </si>
  <si>
    <t>User can not add a product to compare for multiple times and shown a pop-up alert message.</t>
  </si>
  <si>
    <t>1. Goto the URL
'https://www.techlandbd.com'
2. Login with valid credentials.
3. Goto any category
4. Add a product to compare from product list for multiple times .</t>
  </si>
  <si>
    <t>Verify adding a product to cart from comparison box.</t>
  </si>
  <si>
    <t>User should be able to add product to cart from comparison box.</t>
  </si>
  <si>
    <t>User is able to add product to cart from comparison box.</t>
  </si>
  <si>
    <t>1. Goto the URL
'https://www.techlandbd.com'
2. Login with valid credentials.
3. Add products to compare.
4. Click "add to cart" button from comparision box.</t>
  </si>
  <si>
    <t>Verify out of stock product can not be added to cart from comparision box.</t>
  </si>
  <si>
    <t>User should not be able to add out of stock product to cart from comparision box.</t>
  </si>
  <si>
    <t>User is able to add out of stock product to cart from comparision box.</t>
  </si>
  <si>
    <t>Out of stock product added to cart</t>
  </si>
  <si>
    <t>DF_ID_12</t>
  </si>
  <si>
    <t>Out of stock product can be added to cart from comparision box.</t>
  </si>
  <si>
    <t>1. Goto product list page.
2. Add out of stock products to comparision.
3. Add to cart products from comparison box.</t>
  </si>
  <si>
    <t>Out of stock products should not be able to do add to cart.</t>
  </si>
  <si>
    <t>Out of stock products can be added to cart from comparison box.</t>
  </si>
  <si>
    <t>P2</t>
  </si>
  <si>
    <t>Total</t>
  </si>
  <si>
    <t>Priority Level Indicator</t>
  </si>
  <si>
    <t>Not Effective</t>
  </si>
  <si>
    <t>Priority Level</t>
  </si>
  <si>
    <t xml:space="preserve">                                            Usability Testing</t>
  </si>
  <si>
    <t>Register Account, Account Login, Product Page &amp; User dashboard.</t>
  </si>
  <si>
    <t>Improvement Scopes</t>
  </si>
  <si>
    <t>1. Field validation should be emphasized.
2. Phone number field should follow data validation rules.
3. Pop-up message should maintained properly.
4. The OTP delivery process requires optimization to reduce latency.
5. Comparison box should block out-of-stock items from being added to cart.</t>
  </si>
  <si>
    <t>18/08/2025</t>
  </si>
  <si>
    <t>17/08/2025</t>
  </si>
  <si>
    <t>15/08/2025</t>
  </si>
  <si>
    <t>20/08/25</t>
  </si>
  <si>
    <t xml:space="preserve">     Imratul Islam Rakhi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</si>
</sst>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0"/>
      <color rgb="FF000000"/>
      <name val="Calibri"/>
      <scheme val="minor"/>
    </font>
    <font>
      <sz val="10"/>
      <color theme="1"/>
      <name val="Arial"/>
      <family val="2"/>
    </font>
    <font>
      <sz val="10"/>
      <color theme="1"/>
      <name val="Calibri"/>
      <family val="2"/>
    </font>
    <font>
      <sz val="14"/>
      <color theme="1"/>
      <name val="Calibri"/>
      <family val="2"/>
    </font>
    <font>
      <sz val="12"/>
      <color theme="1"/>
      <name val="Calibri"/>
      <family val="2"/>
    </font>
    <font>
      <sz val="10"/>
      <color rgb="FF000000"/>
      <name val="Arial"/>
      <family val="2"/>
    </font>
    <font>
      <sz val="11"/>
      <color theme="1"/>
      <name val="Arial"/>
      <family val="2"/>
    </font>
    <font>
      <sz val="10"/>
      <name val="Calibri"/>
      <family val="2"/>
    </font>
    <font>
      <sz val="10"/>
      <color theme="1"/>
      <name val="Arial"/>
      <family val="2"/>
    </font>
    <font>
      <sz val="11"/>
      <color rgb="FF000000"/>
      <name val="Arial"/>
      <family val="2"/>
    </font>
    <font>
      <b/>
      <sz val="11"/>
      <color rgb="FF000000"/>
      <name val="Calibri"/>
      <family val="2"/>
    </font>
    <font>
      <sz val="11"/>
      <color rgb="FF000000"/>
      <name val="Calibri"/>
      <family val="2"/>
    </font>
    <font>
      <sz val="10"/>
      <color rgb="FF000000"/>
      <name val="Calibri"/>
      <family val="2"/>
    </font>
    <font>
      <sz val="10"/>
      <color rgb="FF000000"/>
      <name val="Verdana"/>
      <family val="2"/>
    </font>
    <font>
      <sz val="10"/>
      <color rgb="FFFF0000"/>
      <name val="Calibri"/>
      <family val="2"/>
    </font>
    <font>
      <b/>
      <sz val="10"/>
      <color theme="1"/>
      <name val="Verdana"/>
      <family val="2"/>
    </font>
    <font>
      <sz val="14"/>
      <color rgb="FF000000"/>
      <name val="Calibri"/>
      <family val="2"/>
    </font>
    <font>
      <b/>
      <sz val="10"/>
      <color rgb="FF000000"/>
      <name val="Verdana"/>
      <family val="2"/>
    </font>
    <font>
      <sz val="10"/>
      <color theme="1"/>
      <name val="Verdana"/>
      <family val="2"/>
    </font>
    <font>
      <b/>
      <sz val="10"/>
      <color rgb="FFFFFFFF"/>
      <name val="Verdana"/>
      <family val="2"/>
    </font>
    <font>
      <sz val="11"/>
      <color rgb="FF000000"/>
      <name val="Verdana"/>
      <family val="2"/>
    </font>
    <font>
      <b/>
      <sz val="10"/>
      <color rgb="FF000000"/>
      <name val="Arial"/>
      <family val="2"/>
    </font>
    <font>
      <b/>
      <sz val="12"/>
      <color theme="1"/>
      <name val="Calibri"/>
      <family val="2"/>
    </font>
    <font>
      <b/>
      <sz val="11"/>
      <color theme="1"/>
      <name val="Calibri"/>
      <family val="2"/>
    </font>
    <font>
      <sz val="11"/>
      <color rgb="FFFFFFFF"/>
      <name val="Calibri"/>
      <family val="2"/>
    </font>
    <font>
      <u/>
      <sz val="10"/>
      <color rgb="FFFF0000"/>
      <name val="Arial"/>
      <family val="2"/>
    </font>
    <font>
      <sz val="11"/>
      <color theme="1"/>
      <name val="Calibri"/>
      <family val="2"/>
    </font>
    <font>
      <sz val="11"/>
      <color rgb="FFFF0000"/>
      <name val="Calibri"/>
      <family val="2"/>
    </font>
    <font>
      <sz val="11"/>
      <color theme="1"/>
      <name val="Verdana"/>
      <family val="2"/>
    </font>
    <font>
      <sz val="10"/>
      <color theme="1"/>
      <name val="Calibri"/>
      <family val="2"/>
    </font>
    <font>
      <b/>
      <sz val="24"/>
      <color rgb="FFFFFFFF"/>
      <name val="Calibri"/>
      <family val="2"/>
    </font>
    <font>
      <b/>
      <sz val="12"/>
      <color rgb="FF222222"/>
      <name val="Arial"/>
      <family val="2"/>
    </font>
    <font>
      <b/>
      <sz val="10"/>
      <color theme="1"/>
      <name val="Arial"/>
      <family val="2"/>
    </font>
    <font>
      <sz val="10"/>
      <color rgb="FF222222"/>
      <name val="Arial"/>
      <family val="2"/>
    </font>
    <font>
      <b/>
      <sz val="11"/>
      <color theme="1"/>
      <name val="Comfortaa"/>
    </font>
    <font>
      <b/>
      <sz val="14"/>
      <color theme="1"/>
      <name val="Calibri"/>
      <family val="2"/>
    </font>
    <font>
      <u/>
      <sz val="10"/>
      <color theme="10"/>
      <name val="Calibri"/>
      <family val="2"/>
      <scheme val="minor"/>
    </font>
    <font>
      <b/>
      <sz val="11"/>
      <color theme="1"/>
      <name val="Arial"/>
      <family val="2"/>
    </font>
    <font>
      <b/>
      <sz val="12"/>
      <color theme="1"/>
      <name val="Calibri"/>
      <family val="2"/>
      <scheme val="minor"/>
    </font>
    <font>
      <b/>
      <sz val="12"/>
      <color rgb="FF000000"/>
      <name val="Calibri"/>
      <family val="2"/>
      <scheme val="minor"/>
    </font>
    <font>
      <sz val="12"/>
      <color rgb="FF000000"/>
      <name val="Calibri"/>
      <family val="2"/>
      <scheme val="minor"/>
    </font>
    <font>
      <b/>
      <sz val="12"/>
      <color rgb="FFFF0000"/>
      <name val="Calibri"/>
      <family val="2"/>
      <scheme val="minor"/>
    </font>
    <font>
      <b/>
      <sz val="12"/>
      <color rgb="FFFFFFFF"/>
      <name val="Calibri"/>
      <family val="2"/>
      <scheme val="minor"/>
    </font>
    <font>
      <sz val="12"/>
      <color theme="1"/>
      <name val="Calibri"/>
      <family val="2"/>
      <scheme val="minor"/>
    </font>
    <font>
      <sz val="12"/>
      <color rgb="FFFF0000"/>
      <name val="Calibri"/>
      <family val="2"/>
      <scheme val="minor"/>
    </font>
    <font>
      <sz val="12"/>
      <color rgb="FFFFFFFF"/>
      <name val="Calibri"/>
      <family val="2"/>
      <scheme val="minor"/>
    </font>
    <font>
      <u/>
      <sz val="12"/>
      <color rgb="FFFF0000"/>
      <name val="Calibri"/>
      <family val="2"/>
      <scheme val="minor"/>
    </font>
    <font>
      <u/>
      <sz val="12"/>
      <color theme="10"/>
      <name val="Calibri"/>
      <family val="2"/>
      <scheme val="minor"/>
    </font>
    <font>
      <sz val="10"/>
      <color rgb="FF000000"/>
      <name val="Calibri"/>
      <family val="2"/>
      <scheme val="minor"/>
    </font>
    <font>
      <b/>
      <sz val="10"/>
      <color rgb="FF000000"/>
      <name val="Calibri"/>
      <family val="2"/>
      <scheme val="minor"/>
    </font>
    <font>
      <sz val="10"/>
      <color rgb="FFFF0000"/>
      <name val="Calibri"/>
      <family val="2"/>
      <scheme val="minor"/>
    </font>
    <font>
      <b/>
      <sz val="11"/>
      <color rgb="FF000000"/>
      <name val="Calibri"/>
      <family val="2"/>
      <scheme val="minor"/>
    </font>
    <font>
      <b/>
      <sz val="12"/>
      <name val="Calibri"/>
      <family val="2"/>
    </font>
    <font>
      <sz val="12"/>
      <color rgb="FF000000"/>
      <name val="Calibri"/>
      <family val="2"/>
    </font>
    <font>
      <u/>
      <sz val="10"/>
      <color rgb="FFFF0000"/>
      <name val="Calibri"/>
      <family val="2"/>
      <scheme val="minor"/>
    </font>
    <font>
      <sz val="11"/>
      <color rgb="FF000000"/>
      <name val="Calibri"/>
      <family val="2"/>
      <scheme val="minor"/>
    </font>
    <font>
      <b/>
      <sz val="14"/>
      <color theme="1"/>
      <name val="Arial"/>
      <family val="2"/>
    </font>
    <font>
      <b/>
      <sz val="12"/>
      <color theme="0"/>
      <name val="Calibri"/>
      <family val="2"/>
      <scheme val="minor"/>
    </font>
  </fonts>
  <fills count="44">
    <fill>
      <patternFill patternType="none"/>
    </fill>
    <fill>
      <patternFill patternType="gray125"/>
    </fill>
    <fill>
      <patternFill patternType="solid">
        <fgColor rgb="FFC6D9F0"/>
        <bgColor rgb="FFC6D9F0"/>
      </patternFill>
    </fill>
    <fill>
      <patternFill patternType="solid">
        <fgColor rgb="FF00FF00"/>
        <bgColor rgb="FF00FF00"/>
      </patternFill>
    </fill>
    <fill>
      <patternFill patternType="solid">
        <fgColor rgb="FFFF0000"/>
        <bgColor rgb="FFFF0000"/>
      </patternFill>
    </fill>
    <fill>
      <patternFill patternType="solid">
        <fgColor rgb="FFFFFF00"/>
        <bgColor rgb="FFFFFF00"/>
      </patternFill>
    </fill>
    <fill>
      <patternFill patternType="solid">
        <fgColor rgb="FFFFFFFF"/>
        <bgColor rgb="FFFFFFFF"/>
      </patternFill>
    </fill>
    <fill>
      <patternFill patternType="solid">
        <fgColor rgb="FF0070C0"/>
        <bgColor rgb="FF0070C0"/>
      </patternFill>
    </fill>
    <fill>
      <patternFill patternType="solid">
        <fgColor rgb="FFF2DBDB"/>
        <bgColor rgb="FFF2DBDB"/>
      </patternFill>
    </fill>
    <fill>
      <patternFill patternType="solid">
        <fgColor rgb="FFB6DDE8"/>
        <bgColor rgb="FFB6DDE8"/>
      </patternFill>
    </fill>
    <fill>
      <patternFill patternType="solid">
        <fgColor rgb="FFFFC000"/>
        <bgColor rgb="FFFFC000"/>
      </patternFill>
    </fill>
    <fill>
      <patternFill patternType="solid">
        <fgColor rgb="FFDCE6F2"/>
        <bgColor rgb="FFDCE6F2"/>
      </patternFill>
    </fill>
    <fill>
      <patternFill patternType="solid">
        <fgColor rgb="FFA4C2F4"/>
        <bgColor rgb="FFA4C2F4"/>
      </patternFill>
    </fill>
    <fill>
      <patternFill patternType="solid">
        <fgColor rgb="FFD9EAD3"/>
        <bgColor rgb="FFD9EAD3"/>
      </patternFill>
    </fill>
    <fill>
      <patternFill patternType="solid">
        <fgColor rgb="FF99FF66"/>
        <bgColor rgb="FF99FF66"/>
      </patternFill>
    </fill>
    <fill>
      <patternFill patternType="solid">
        <fgColor rgb="FFFF6600"/>
        <bgColor rgb="FFFF6600"/>
      </patternFill>
    </fill>
    <fill>
      <patternFill patternType="solid">
        <fgColor rgb="FFFAC090"/>
        <bgColor rgb="FFFAC090"/>
      </patternFill>
    </fill>
    <fill>
      <patternFill patternType="solid">
        <fgColor rgb="FFE6B9B8"/>
        <bgColor rgb="FFE6B9B8"/>
      </patternFill>
    </fill>
    <fill>
      <patternFill patternType="solid">
        <fgColor rgb="FFC3D69B"/>
        <bgColor rgb="FFC3D69B"/>
      </patternFill>
    </fill>
    <fill>
      <patternFill patternType="solid">
        <fgColor rgb="FFEBF1DE"/>
        <bgColor rgb="FFEBF1DE"/>
      </patternFill>
    </fill>
    <fill>
      <patternFill patternType="solid">
        <fgColor rgb="FFB3A2C7"/>
        <bgColor rgb="FFB3A2C7"/>
      </patternFill>
    </fill>
    <fill>
      <patternFill patternType="solid">
        <fgColor theme="4" tint="0.39997558519241921"/>
        <bgColor indexed="64"/>
      </patternFill>
    </fill>
    <fill>
      <patternFill patternType="solid">
        <fgColor rgb="FFFFFF00"/>
        <bgColor indexed="64"/>
      </patternFill>
    </fill>
    <fill>
      <patternFill patternType="solid">
        <fgColor theme="9" tint="-0.249977111117893"/>
        <bgColor indexed="64"/>
      </patternFill>
    </fill>
    <fill>
      <patternFill patternType="solid">
        <fgColor rgb="FFFF0000"/>
        <bgColor indexed="64"/>
      </patternFill>
    </fill>
    <fill>
      <patternFill patternType="solid">
        <fgColor rgb="FFFFC000"/>
        <bgColor indexed="64"/>
      </patternFill>
    </fill>
    <fill>
      <patternFill patternType="solid">
        <fgColor rgb="FFFFFF00"/>
        <bgColor rgb="FFFFFF99"/>
      </patternFill>
    </fill>
    <fill>
      <patternFill patternType="solid">
        <fgColor rgb="FFFFC000"/>
        <bgColor rgb="FFCCC1DA"/>
      </patternFill>
    </fill>
    <fill>
      <patternFill patternType="solid">
        <fgColor theme="4" tint="0.79998168889431442"/>
        <bgColor indexed="64"/>
      </patternFill>
    </fill>
    <fill>
      <patternFill patternType="solid">
        <fgColor theme="9" tint="0.39997558519241921"/>
        <bgColor indexed="64"/>
      </patternFill>
    </fill>
    <fill>
      <patternFill patternType="solid">
        <fgColor rgb="FFFFFF99"/>
        <bgColor indexed="64"/>
      </patternFill>
    </fill>
    <fill>
      <patternFill patternType="solid">
        <fgColor theme="7" tint="0.39997558519241921"/>
        <bgColor indexed="64"/>
      </patternFill>
    </fill>
    <fill>
      <patternFill patternType="solid">
        <fgColor rgb="FFF94C07"/>
        <bgColor indexed="64"/>
      </patternFill>
    </fill>
    <fill>
      <patternFill patternType="solid">
        <fgColor theme="4" tint="-0.249977111117893"/>
        <bgColor theme="5"/>
      </patternFill>
    </fill>
    <fill>
      <patternFill patternType="solid">
        <fgColor theme="4" tint="0.39997558519241921"/>
        <bgColor rgb="FFFFD965"/>
      </patternFill>
    </fill>
    <fill>
      <patternFill patternType="solid">
        <fgColor theme="7" tint="0.59999389629810485"/>
        <bgColor indexed="64"/>
      </patternFill>
    </fill>
    <fill>
      <patternFill patternType="solid">
        <fgColor theme="5"/>
        <bgColor indexed="64"/>
      </patternFill>
    </fill>
    <fill>
      <patternFill patternType="solid">
        <fgColor theme="9" tint="0.79998168889431442"/>
        <bgColor rgb="FFD6E3BC"/>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0.14999847407452621"/>
        <bgColor rgb="FFFFFFFF"/>
      </patternFill>
    </fill>
    <fill>
      <patternFill patternType="solid">
        <fgColor theme="0" tint="-0.14999847407452621"/>
        <bgColor indexed="64"/>
      </patternFill>
    </fill>
    <fill>
      <patternFill patternType="solid">
        <fgColor theme="2" tint="-0.14999847407452621"/>
        <bgColor indexed="64"/>
      </patternFill>
    </fill>
    <fill>
      <patternFill patternType="solid">
        <fgColor theme="2" tint="-0.14999847407452621"/>
        <bgColor rgb="FFFFFFFF"/>
      </patternFill>
    </fill>
  </fills>
  <borders count="53">
    <border>
      <left/>
      <right/>
      <top/>
      <bottom/>
      <diagonal/>
    </border>
    <border>
      <left/>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style="medium">
        <color rgb="FF000000"/>
      </right>
      <top style="medium">
        <color rgb="FF000000"/>
      </top>
      <bottom/>
      <diagonal/>
    </border>
    <border>
      <left/>
      <right style="thin">
        <color rgb="FF000000"/>
      </right>
      <top/>
      <bottom style="thin">
        <color rgb="FF000000"/>
      </bottom>
      <diagonal/>
    </border>
    <border>
      <left style="medium">
        <color rgb="FF000000"/>
      </left>
      <right style="thin">
        <color rgb="FF000000"/>
      </right>
      <top/>
      <bottom style="thin">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bottom style="medium">
        <color rgb="FF000000"/>
      </bottom>
      <diagonal/>
    </border>
    <border>
      <left/>
      <right style="thin">
        <color theme="1"/>
      </right>
      <top/>
      <bottom/>
      <diagonal/>
    </border>
    <border>
      <left/>
      <right/>
      <top style="medium">
        <color rgb="FF000000"/>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thin">
        <color rgb="FF000000"/>
      </bottom>
      <diagonal/>
    </border>
    <border>
      <left/>
      <right style="thin">
        <color rgb="FF000000"/>
      </right>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bottom/>
      <diagonal/>
    </border>
    <border>
      <left style="medium">
        <color rgb="FF000000"/>
      </left>
      <right/>
      <top/>
      <bottom/>
      <diagonal/>
    </border>
    <border>
      <left/>
      <right/>
      <top/>
      <bottom/>
      <diagonal/>
    </border>
    <border>
      <left style="medium">
        <color rgb="FF000000"/>
      </left>
      <right style="medium">
        <color rgb="FF000000"/>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style="thick">
        <color indexed="64"/>
      </right>
      <top style="medium">
        <color indexed="64"/>
      </top>
      <bottom style="medium">
        <color indexed="64"/>
      </bottom>
      <diagonal/>
    </border>
    <border>
      <left style="thick">
        <color indexed="64"/>
      </left>
      <right style="medium">
        <color indexed="64"/>
      </right>
      <top style="medium">
        <color indexed="64"/>
      </top>
      <bottom style="medium">
        <color indexed="64"/>
      </bottom>
      <diagonal/>
    </border>
    <border>
      <left style="thin">
        <color rgb="FF000000"/>
      </left>
      <right/>
      <top style="medium">
        <color rgb="FF000000"/>
      </top>
      <bottom style="medium">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s>
  <cellStyleXfs count="2">
    <xf numFmtId="0" fontId="0" fillId="0" borderId="0"/>
    <xf numFmtId="0" fontId="36" fillId="0" borderId="0" applyNumberFormat="0" applyFill="0" applyBorder="0" applyAlignment="0" applyProtection="0"/>
  </cellStyleXfs>
  <cellXfs count="270">
    <xf numFmtId="0" fontId="0" fillId="0" borderId="0" xfId="0"/>
    <xf numFmtId="0" fontId="1" fillId="0" borderId="0" xfId="0" applyFont="1"/>
    <xf numFmtId="49" fontId="2" fillId="0" borderId="0" xfId="0" applyNumberFormat="1" applyFont="1"/>
    <xf numFmtId="0" fontId="3" fillId="0" borderId="0" xfId="0" applyFont="1"/>
    <xf numFmtId="0" fontId="4" fillId="0" borderId="0" xfId="0" applyFont="1"/>
    <xf numFmtId="0" fontId="11" fillId="0" borderId="3" xfId="0" applyFont="1" applyBorder="1" applyAlignment="1">
      <alignment horizontal="center" vertical="center" wrapText="1"/>
    </xf>
    <xf numFmtId="0" fontId="12" fillId="0" borderId="0" xfId="0" applyFont="1" applyAlignment="1">
      <alignment horizontal="center" vertical="top"/>
    </xf>
    <xf numFmtId="0" fontId="13" fillId="0" borderId="0" xfId="0" applyFont="1" applyAlignment="1">
      <alignment horizontal="left"/>
    </xf>
    <xf numFmtId="0" fontId="14" fillId="0" borderId="0" xfId="0" applyFont="1" applyAlignment="1">
      <alignment horizontal="center" vertical="center" wrapText="1"/>
    </xf>
    <xf numFmtId="0" fontId="13" fillId="0" borderId="0" xfId="0" applyFont="1" applyAlignment="1">
      <alignment wrapText="1"/>
    </xf>
    <xf numFmtId="0" fontId="16" fillId="0" borderId="7" xfId="0" applyFont="1" applyBorder="1" applyAlignment="1">
      <alignment horizontal="center" vertical="center" wrapText="1"/>
    </xf>
    <xf numFmtId="0" fontId="11" fillId="0" borderId="7" xfId="0" applyFont="1" applyBorder="1" applyAlignment="1">
      <alignment horizontal="center" vertical="center" wrapText="1"/>
    </xf>
    <xf numFmtId="0" fontId="11" fillId="0" borderId="7" xfId="0" applyFont="1" applyBorder="1" applyAlignment="1">
      <alignment horizontal="center" vertical="center"/>
    </xf>
    <xf numFmtId="0" fontId="17" fillId="3" borderId="9" xfId="0" applyFont="1" applyFill="1" applyBorder="1" applyAlignment="1">
      <alignment horizontal="center" vertical="center" wrapText="1"/>
    </xf>
    <xf numFmtId="0" fontId="19" fillId="4" borderId="9" xfId="0" applyFont="1" applyFill="1" applyBorder="1" applyAlignment="1">
      <alignment horizontal="center" vertical="center" wrapText="1"/>
    </xf>
    <xf numFmtId="0" fontId="15" fillId="5" borderId="9" xfId="0" applyFont="1" applyFill="1" applyBorder="1" applyAlignment="1">
      <alignment horizontal="center" vertical="center" wrapText="1"/>
    </xf>
    <xf numFmtId="0" fontId="20" fillId="0" borderId="0" xfId="0" applyFont="1" applyAlignment="1">
      <alignment horizontal="left"/>
    </xf>
    <xf numFmtId="0" fontId="11" fillId="0" borderId="0" xfId="0" applyFont="1" applyAlignment="1">
      <alignment horizontal="left" vertical="center"/>
    </xf>
    <xf numFmtId="0" fontId="20" fillId="0" borderId="0" xfId="0" applyFont="1" applyAlignment="1">
      <alignment horizontal="center" vertical="center" wrapText="1"/>
    </xf>
    <xf numFmtId="0" fontId="20" fillId="0" borderId="0" xfId="0" applyFont="1" applyAlignment="1">
      <alignment horizontal="center" vertical="center"/>
    </xf>
    <xf numFmtId="0" fontId="20" fillId="0" borderId="0" xfId="0" applyFont="1" applyAlignment="1">
      <alignment horizontal="left" vertical="center" wrapText="1"/>
    </xf>
    <xf numFmtId="0" fontId="15" fillId="2" borderId="12" xfId="0" applyFont="1" applyFill="1" applyBorder="1" applyAlignment="1">
      <alignment horizontal="center" vertical="center" wrapText="1"/>
    </xf>
    <xf numFmtId="0" fontId="11" fillId="6" borderId="15" xfId="0" applyFont="1" applyFill="1" applyBorder="1" applyAlignment="1">
      <alignment horizontal="center" vertical="center" wrapText="1"/>
    </xf>
    <xf numFmtId="0" fontId="9" fillId="6" borderId="15" xfId="0" applyFont="1" applyFill="1" applyBorder="1" applyAlignment="1">
      <alignment horizontal="center" vertical="center" wrapText="1"/>
    </xf>
    <xf numFmtId="0" fontId="5" fillId="6" borderId="15" xfId="0" applyFont="1" applyFill="1" applyBorder="1" applyAlignment="1">
      <alignment horizontal="center" vertical="center" wrapText="1"/>
    </xf>
    <xf numFmtId="0" fontId="9" fillId="6" borderId="15" xfId="0" applyFont="1" applyFill="1" applyBorder="1" applyAlignment="1">
      <alignment horizontal="center" vertical="top" wrapText="1"/>
    </xf>
    <xf numFmtId="0" fontId="17" fillId="6" borderId="15" xfId="0" applyFont="1" applyFill="1" applyBorder="1" applyAlignment="1">
      <alignment horizontal="center" vertical="center" wrapText="1"/>
    </xf>
    <xf numFmtId="0" fontId="11" fillId="6" borderId="16" xfId="0" applyFont="1" applyFill="1" applyBorder="1" applyAlignment="1">
      <alignment horizontal="center" vertical="center" wrapText="1"/>
    </xf>
    <xf numFmtId="0" fontId="19" fillId="6" borderId="15" xfId="0" applyFont="1" applyFill="1" applyBorder="1" applyAlignment="1">
      <alignment horizontal="center" vertical="center"/>
    </xf>
    <xf numFmtId="0" fontId="24" fillId="6" borderId="15" xfId="0" applyFont="1" applyFill="1" applyBorder="1" applyAlignment="1">
      <alignment horizontal="left" vertical="center"/>
    </xf>
    <xf numFmtId="0" fontId="25" fillId="6" borderId="15" xfId="0" applyFont="1" applyFill="1" applyBorder="1" applyAlignment="1">
      <alignment horizontal="center" vertical="center" wrapText="1"/>
    </xf>
    <xf numFmtId="0" fontId="26" fillId="0" borderId="15" xfId="0" applyFont="1" applyBorder="1" applyAlignment="1">
      <alignment horizontal="left" vertical="center" wrapText="1"/>
    </xf>
    <xf numFmtId="0" fontId="11" fillId="6" borderId="18" xfId="0" applyFont="1" applyFill="1" applyBorder="1" applyAlignment="1">
      <alignment horizontal="center" vertical="center" wrapText="1"/>
    </xf>
    <xf numFmtId="0" fontId="12" fillId="0" borderId="15" xfId="0" applyFont="1" applyBorder="1" applyAlignment="1">
      <alignment horizontal="center" vertical="top" wrapText="1"/>
    </xf>
    <xf numFmtId="0" fontId="27" fillId="0" borderId="15" xfId="0" applyFont="1" applyBorder="1" applyAlignment="1">
      <alignment horizontal="center" vertical="center" wrapText="1"/>
    </xf>
    <xf numFmtId="0" fontId="11" fillId="0" borderId="0" xfId="0" applyFont="1" applyAlignment="1">
      <alignment horizontal="left" vertical="center" wrapText="1"/>
    </xf>
    <xf numFmtId="0" fontId="26" fillId="0" borderId="0" xfId="0" applyFont="1" applyAlignment="1">
      <alignment horizontal="left" vertical="center"/>
    </xf>
    <xf numFmtId="0" fontId="28" fillId="0" borderId="0" xfId="0" applyFont="1" applyAlignment="1">
      <alignment horizontal="left"/>
    </xf>
    <xf numFmtId="0" fontId="26" fillId="0" borderId="0" xfId="0" applyFont="1" applyAlignment="1">
      <alignment vertical="center"/>
    </xf>
    <xf numFmtId="0" fontId="28" fillId="0" borderId="0" xfId="0" applyFont="1" applyAlignment="1">
      <alignment horizontal="center" vertical="center" wrapText="1"/>
    </xf>
    <xf numFmtId="0" fontId="28" fillId="0" borderId="0" xfId="0" applyFont="1" applyAlignment="1">
      <alignment horizontal="center" vertical="center"/>
    </xf>
    <xf numFmtId="0" fontId="28" fillId="0" borderId="0" xfId="0" applyFont="1" applyAlignment="1">
      <alignment horizontal="left" vertical="center" wrapText="1"/>
    </xf>
    <xf numFmtId="0" fontId="26" fillId="0" borderId="0" xfId="0" applyFont="1" applyAlignment="1">
      <alignment horizontal="left" vertical="center" wrapText="1"/>
    </xf>
    <xf numFmtId="0" fontId="29" fillId="0" borderId="0" xfId="0" applyFont="1" applyAlignment="1">
      <alignment horizontal="center" vertical="top" wrapText="1"/>
    </xf>
    <xf numFmtId="0" fontId="27" fillId="0" borderId="0" xfId="0" applyFont="1" applyAlignment="1">
      <alignment horizontal="center" vertical="center" wrapText="1"/>
    </xf>
    <xf numFmtId="0" fontId="29" fillId="0" borderId="0" xfId="0" applyFont="1" applyAlignment="1">
      <alignment horizontal="center" vertical="top"/>
    </xf>
    <xf numFmtId="0" fontId="28" fillId="0" borderId="0" xfId="0" applyFont="1"/>
    <xf numFmtId="0" fontId="26" fillId="0" borderId="0" xfId="0" applyFont="1"/>
    <xf numFmtId="0" fontId="28" fillId="0" borderId="0" xfId="0" applyFont="1" applyAlignment="1">
      <alignment horizontal="center"/>
    </xf>
    <xf numFmtId="0" fontId="18" fillId="0" borderId="0" xfId="0" applyFont="1"/>
    <xf numFmtId="0" fontId="18" fillId="0" borderId="0" xfId="0" applyFont="1" applyAlignment="1">
      <alignment vertical="center"/>
    </xf>
    <xf numFmtId="0" fontId="11" fillId="0" borderId="0" xfId="0" applyFont="1"/>
    <xf numFmtId="0" fontId="11" fillId="0" borderId="0" xfId="0" applyFont="1" applyAlignment="1">
      <alignment horizontal="center" vertical="center" wrapText="1"/>
    </xf>
    <xf numFmtId="0" fontId="11" fillId="0" borderId="0" xfId="0" applyFont="1" applyAlignment="1">
      <alignment horizontal="center"/>
    </xf>
    <xf numFmtId="0" fontId="11" fillId="0" borderId="0" xfId="0" applyFont="1" applyAlignment="1">
      <alignment horizontal="left"/>
    </xf>
    <xf numFmtId="0" fontId="12" fillId="0" borderId="0" xfId="0" applyFont="1" applyAlignment="1">
      <alignment vertical="center"/>
    </xf>
    <xf numFmtId="0" fontId="31" fillId="0" borderId="0" xfId="0" applyFont="1" applyAlignment="1">
      <alignment horizontal="center" vertical="center"/>
    </xf>
    <xf numFmtId="0" fontId="8" fillId="0" borderId="0" xfId="0" applyFont="1"/>
    <xf numFmtId="0" fontId="12" fillId="0" borderId="27" xfId="0" applyFont="1" applyBorder="1"/>
    <xf numFmtId="0" fontId="31" fillId="0" borderId="0" xfId="0" applyFont="1"/>
    <xf numFmtId="0" fontId="22" fillId="12" borderId="22" xfId="0" applyFont="1" applyFill="1" applyBorder="1" applyAlignment="1">
      <alignment horizontal="center" vertical="top" wrapText="1"/>
    </xf>
    <xf numFmtId="0" fontId="22" fillId="12" borderId="21" xfId="0" applyFont="1" applyFill="1" applyBorder="1" applyAlignment="1">
      <alignment horizontal="center" vertical="top" wrapText="1"/>
    </xf>
    <xf numFmtId="0" fontId="22" fillId="12" borderId="34" xfId="0" applyFont="1" applyFill="1" applyBorder="1" applyAlignment="1">
      <alignment horizontal="center" vertical="top" wrapText="1"/>
    </xf>
    <xf numFmtId="0" fontId="5" fillId="0" borderId="0" xfId="0" applyFont="1"/>
    <xf numFmtId="0" fontId="5" fillId="0" borderId="0" xfId="0" applyFont="1" applyAlignment="1">
      <alignment vertical="center"/>
    </xf>
    <xf numFmtId="0" fontId="26" fillId="13" borderId="22" xfId="0" applyFont="1" applyFill="1" applyBorder="1" applyAlignment="1">
      <alignment vertical="center"/>
    </xf>
    <xf numFmtId="0" fontId="26" fillId="14" borderId="21" xfId="0" applyFont="1" applyFill="1" applyBorder="1" applyAlignment="1">
      <alignment horizontal="center" vertical="center"/>
    </xf>
    <xf numFmtId="0" fontId="26" fillId="15" borderId="21" xfId="0" applyFont="1" applyFill="1" applyBorder="1" applyAlignment="1">
      <alignment horizontal="center" vertical="center"/>
    </xf>
    <xf numFmtId="0" fontId="11" fillId="16" borderId="34" xfId="0" applyFont="1" applyFill="1" applyBorder="1" applyAlignment="1">
      <alignment horizontal="center" vertical="center"/>
    </xf>
    <xf numFmtId="0" fontId="31" fillId="0" borderId="0" xfId="0" applyFont="1" applyAlignment="1">
      <alignment vertical="center"/>
    </xf>
    <xf numFmtId="0" fontId="35" fillId="17" borderId="26" xfId="0" applyFont="1" applyFill="1" applyBorder="1" applyAlignment="1">
      <alignment horizontal="center"/>
    </xf>
    <xf numFmtId="0" fontId="35" fillId="17" borderId="35" xfId="0" applyFont="1" applyFill="1" applyBorder="1" applyAlignment="1">
      <alignment horizontal="center"/>
    </xf>
    <xf numFmtId="0" fontId="35" fillId="17" borderId="35" xfId="0" applyFont="1" applyFill="1" applyBorder="1" applyAlignment="1">
      <alignment horizontal="center" wrapText="1"/>
    </xf>
    <xf numFmtId="0" fontId="35" fillId="17" borderId="8" xfId="0" applyFont="1" applyFill="1" applyBorder="1" applyAlignment="1">
      <alignment horizontal="center"/>
    </xf>
    <xf numFmtId="0" fontId="8" fillId="0" borderId="0" xfId="0" applyFont="1" applyAlignment="1">
      <alignment horizontal="right"/>
    </xf>
    <xf numFmtId="0" fontId="8" fillId="0" borderId="0" xfId="0" applyFont="1" applyAlignment="1">
      <alignment vertical="top"/>
    </xf>
    <xf numFmtId="0" fontId="23" fillId="18" borderId="15" xfId="0" applyFont="1" applyFill="1" applyBorder="1" applyAlignment="1">
      <alignment horizontal="center" vertical="top" wrapText="1"/>
    </xf>
    <xf numFmtId="0" fontId="26" fillId="19" borderId="15" xfId="0" applyFont="1" applyFill="1" applyBorder="1" applyAlignment="1">
      <alignment horizontal="center" vertical="top"/>
    </xf>
    <xf numFmtId="0" fontId="11" fillId="0" borderId="16" xfId="0" applyFont="1" applyBorder="1" applyAlignment="1">
      <alignment horizontal="center" vertical="center" wrapText="1"/>
    </xf>
    <xf numFmtId="0" fontId="19" fillId="0" borderId="15" xfId="0" applyFont="1" applyBorder="1" applyAlignment="1">
      <alignment horizontal="center" vertical="center"/>
    </xf>
    <xf numFmtId="0" fontId="36" fillId="0" borderId="3" xfId="1" applyBorder="1" applyAlignment="1">
      <alignment horizontal="center" vertical="center" wrapText="1"/>
    </xf>
    <xf numFmtId="0" fontId="37" fillId="0" borderId="15" xfId="0" applyFont="1" applyBorder="1" applyAlignment="1">
      <alignment horizontal="center" vertical="center"/>
    </xf>
    <xf numFmtId="0" fontId="9" fillId="6" borderId="4" xfId="0" applyFont="1" applyFill="1" applyBorder="1" applyAlignment="1">
      <alignment horizontal="left" vertical="center" wrapText="1"/>
    </xf>
    <xf numFmtId="0" fontId="36" fillId="6" borderId="15" xfId="1" applyFill="1" applyBorder="1" applyAlignment="1">
      <alignment horizontal="center" vertical="center" wrapText="1"/>
    </xf>
    <xf numFmtId="0" fontId="39" fillId="6" borderId="15" xfId="0" applyFont="1" applyFill="1" applyBorder="1" applyAlignment="1">
      <alignment horizontal="center" vertical="center" wrapText="1"/>
    </xf>
    <xf numFmtId="0" fontId="40" fillId="6" borderId="15" xfId="0" applyFont="1" applyFill="1" applyBorder="1" applyAlignment="1">
      <alignment horizontal="center" vertical="center" wrapText="1"/>
    </xf>
    <xf numFmtId="0" fontId="41" fillId="6" borderId="15" xfId="0" applyFont="1" applyFill="1" applyBorder="1" applyAlignment="1">
      <alignment horizontal="center" vertical="center" wrapText="1"/>
    </xf>
    <xf numFmtId="0" fontId="38" fillId="0" borderId="15" xfId="0" applyFont="1" applyBorder="1" applyAlignment="1">
      <alignment horizontal="center" vertical="center" wrapText="1"/>
    </xf>
    <xf numFmtId="0" fontId="40" fillId="0" borderId="15" xfId="0" applyFont="1" applyBorder="1" applyAlignment="1">
      <alignment horizontal="center" vertical="center" wrapText="1"/>
    </xf>
    <xf numFmtId="0" fontId="41" fillId="0" borderId="15" xfId="0" applyFont="1" applyBorder="1" applyAlignment="1">
      <alignment horizontal="center" vertical="center" wrapText="1"/>
    </xf>
    <xf numFmtId="0" fontId="38" fillId="0" borderId="15" xfId="0" applyFont="1" applyBorder="1" applyAlignment="1">
      <alignment horizontal="center" vertical="center"/>
    </xf>
    <xf numFmtId="0" fontId="44" fillId="6" borderId="15" xfId="0" applyFont="1" applyFill="1" applyBorder="1" applyAlignment="1">
      <alignment horizontal="center" vertical="center" wrapText="1"/>
    </xf>
    <xf numFmtId="0" fontId="46" fillId="6" borderId="15" xfId="0" applyFont="1" applyFill="1" applyBorder="1" applyAlignment="1">
      <alignment horizontal="center" vertical="center" wrapText="1"/>
    </xf>
    <xf numFmtId="0" fontId="47" fillId="6" borderId="15" xfId="1" applyFont="1" applyFill="1" applyBorder="1" applyAlignment="1">
      <alignment horizontal="center" vertical="center" wrapText="1"/>
    </xf>
    <xf numFmtId="0" fontId="43" fillId="0" borderId="40" xfId="0" applyFont="1" applyBorder="1" applyAlignment="1">
      <alignment horizontal="center" vertical="center" wrapText="1"/>
    </xf>
    <xf numFmtId="0" fontId="45" fillId="6" borderId="15" xfId="0" applyFont="1" applyFill="1" applyBorder="1" applyAlignment="1">
      <alignment horizontal="center" vertical="center" wrapText="1"/>
    </xf>
    <xf numFmtId="0" fontId="40" fillId="6" borderId="4" xfId="0" applyFont="1" applyFill="1" applyBorder="1" applyAlignment="1">
      <alignment horizontal="center" vertical="center" wrapText="1"/>
    </xf>
    <xf numFmtId="0" fontId="42" fillId="0" borderId="15" xfId="0" applyFont="1" applyBorder="1" applyAlignment="1">
      <alignment horizontal="center" vertical="center" wrapText="1"/>
    </xf>
    <xf numFmtId="0" fontId="42" fillId="6" borderId="15" xfId="0" applyFont="1" applyFill="1" applyBorder="1" applyAlignment="1">
      <alignment horizontal="center" vertical="center" wrapText="1"/>
    </xf>
    <xf numFmtId="0" fontId="40" fillId="0" borderId="0" xfId="0" applyFont="1"/>
    <xf numFmtId="0" fontId="12" fillId="0" borderId="1" xfId="0" applyFont="1" applyBorder="1" applyAlignment="1">
      <alignment horizontal="center" vertical="top"/>
    </xf>
    <xf numFmtId="0" fontId="13" fillId="0" borderId="1" xfId="0" applyFont="1" applyBorder="1" applyAlignment="1">
      <alignment horizontal="left"/>
    </xf>
    <xf numFmtId="0" fontId="14" fillId="0" borderId="1" xfId="0" applyFont="1" applyBorder="1" applyAlignment="1">
      <alignment horizontal="center" vertical="center" wrapText="1"/>
    </xf>
    <xf numFmtId="0" fontId="13" fillId="0" borderId="1" xfId="0" applyFont="1" applyBorder="1" applyAlignment="1">
      <alignment wrapText="1"/>
    </xf>
    <xf numFmtId="0" fontId="49" fillId="21" borderId="42" xfId="0" applyFont="1" applyFill="1" applyBorder="1" applyAlignment="1">
      <alignment horizontal="center" vertical="center"/>
    </xf>
    <xf numFmtId="0" fontId="49" fillId="0" borderId="0" xfId="0" applyFont="1" applyAlignment="1">
      <alignment horizontal="center" vertical="center"/>
    </xf>
    <xf numFmtId="0" fontId="0" fillId="0" borderId="0" xfId="0" applyAlignment="1">
      <alignment horizontal="left" vertical="center" wrapText="1"/>
    </xf>
    <xf numFmtId="0" fontId="48" fillId="0" borderId="0" xfId="0" applyFont="1" applyAlignment="1">
      <alignment horizontal="left" vertical="center" wrapText="1"/>
    </xf>
    <xf numFmtId="0" fontId="51" fillId="21" borderId="42" xfId="0" applyFont="1" applyFill="1" applyBorder="1" applyAlignment="1">
      <alignment horizontal="center" vertical="center"/>
    </xf>
    <xf numFmtId="0" fontId="51" fillId="0" borderId="0" xfId="0" applyFont="1" applyAlignment="1">
      <alignment horizontal="center" vertical="center" wrapText="1"/>
    </xf>
    <xf numFmtId="0" fontId="51" fillId="0" borderId="0" xfId="0" applyFont="1" applyAlignment="1">
      <alignment horizontal="center"/>
    </xf>
    <xf numFmtId="0" fontId="49" fillId="21" borderId="42" xfId="0" applyFont="1" applyFill="1" applyBorder="1" applyAlignment="1">
      <alignment horizontal="left" vertical="center"/>
    </xf>
    <xf numFmtId="0" fontId="0" fillId="0" borderId="0" xfId="0" applyAlignment="1">
      <alignment horizontal="left" vertical="center"/>
    </xf>
    <xf numFmtId="0" fontId="0" fillId="0" borderId="0" xfId="0" applyAlignment="1">
      <alignment horizontal="center"/>
    </xf>
    <xf numFmtId="0" fontId="50" fillId="0" borderId="0" xfId="0" applyFont="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39" fillId="6" borderId="2" xfId="0" applyFont="1" applyFill="1" applyBorder="1" applyAlignment="1">
      <alignment horizontal="center" vertical="center" wrapText="1"/>
    </xf>
    <xf numFmtId="0" fontId="40" fillId="0" borderId="4" xfId="0" applyFont="1" applyBorder="1" applyAlignment="1">
      <alignment horizontal="center" vertical="center" wrapText="1"/>
    </xf>
    <xf numFmtId="0" fontId="39" fillId="0" borderId="15" xfId="0" applyFont="1" applyBorder="1" applyAlignment="1">
      <alignment horizontal="center" vertical="center"/>
    </xf>
    <xf numFmtId="0" fontId="53" fillId="0" borderId="4" xfId="0" applyFont="1" applyBorder="1" applyAlignment="1">
      <alignment horizontal="left" vertical="center" wrapText="1"/>
    </xf>
    <xf numFmtId="0" fontId="51" fillId="0" borderId="0" xfId="0" applyFont="1" applyAlignment="1">
      <alignment horizontal="center" vertical="center"/>
    </xf>
    <xf numFmtId="0" fontId="53" fillId="0" borderId="15" xfId="0" applyFont="1" applyBorder="1" applyAlignment="1">
      <alignment horizontal="left" vertical="center" wrapText="1"/>
    </xf>
    <xf numFmtId="0" fontId="53" fillId="0" borderId="15" xfId="0" applyFont="1" applyBorder="1" applyAlignment="1">
      <alignment horizontal="center" vertical="center" wrapText="1"/>
    </xf>
    <xf numFmtId="0" fontId="22" fillId="0" borderId="15" xfId="0" applyFont="1" applyBorder="1" applyAlignment="1">
      <alignment horizontal="center" vertical="center" wrapText="1"/>
    </xf>
    <xf numFmtId="0" fontId="36" fillId="0" borderId="15" xfId="1" applyBorder="1" applyAlignment="1">
      <alignment horizontal="center" vertical="center" wrapText="1"/>
    </xf>
    <xf numFmtId="0" fontId="0" fillId="0" borderId="0" xfId="0" applyAlignment="1">
      <alignment vertical="center"/>
    </xf>
    <xf numFmtId="0" fontId="48" fillId="0" borderId="0" xfId="0" applyFont="1" applyAlignment="1">
      <alignment vertical="center" wrapText="1"/>
    </xf>
    <xf numFmtId="0" fontId="48" fillId="0" borderId="0" xfId="0" applyFont="1" applyAlignment="1">
      <alignment horizontal="center" vertical="center"/>
    </xf>
    <xf numFmtId="0" fontId="36" fillId="0" borderId="0" xfId="1"/>
    <xf numFmtId="0" fontId="36" fillId="0" borderId="0" xfId="1" applyAlignment="1">
      <alignment vertical="center" wrapText="1"/>
    </xf>
    <xf numFmtId="0" fontId="54" fillId="6" borderId="40" xfId="1" applyFont="1" applyFill="1" applyBorder="1" applyAlignment="1">
      <alignment horizontal="center" vertical="center" wrapText="1"/>
    </xf>
    <xf numFmtId="0" fontId="23" fillId="8" borderId="26" xfId="0" applyFont="1" applyFill="1" applyBorder="1" applyAlignment="1">
      <alignment horizontal="center" vertical="center"/>
    </xf>
    <xf numFmtId="0" fontId="23" fillId="8" borderId="22" xfId="0" applyFont="1" applyFill="1" applyBorder="1" applyAlignment="1">
      <alignment horizontal="center" vertical="center"/>
    </xf>
    <xf numFmtId="0" fontId="1" fillId="25" borderId="18" xfId="0" applyFont="1" applyFill="1" applyBorder="1" applyAlignment="1">
      <alignment horizontal="center" vertical="center"/>
    </xf>
    <xf numFmtId="0" fontId="26" fillId="26" borderId="21" xfId="0" applyFont="1" applyFill="1" applyBorder="1" applyAlignment="1">
      <alignment horizontal="center" vertical="center"/>
    </xf>
    <xf numFmtId="0" fontId="26" fillId="27" borderId="21" xfId="0" applyFont="1" applyFill="1" applyBorder="1" applyAlignment="1">
      <alignment horizontal="center" vertical="center"/>
    </xf>
    <xf numFmtId="0" fontId="55" fillId="21" borderId="44" xfId="0" applyFont="1" applyFill="1" applyBorder="1" applyAlignment="1">
      <alignment horizontal="center" vertical="center"/>
    </xf>
    <xf numFmtId="0" fontId="55" fillId="28" borderId="43" xfId="0" applyFont="1" applyFill="1" applyBorder="1" applyAlignment="1">
      <alignment horizontal="center" vertical="center"/>
    </xf>
    <xf numFmtId="0" fontId="8" fillId="30" borderId="15" xfId="0" applyFont="1" applyFill="1" applyBorder="1" applyAlignment="1">
      <alignment horizontal="center" vertical="center"/>
    </xf>
    <xf numFmtId="0" fontId="8" fillId="31" borderId="18" xfId="0" applyFont="1" applyFill="1" applyBorder="1" applyAlignment="1">
      <alignment horizontal="center" vertical="center"/>
    </xf>
    <xf numFmtId="0" fontId="5" fillId="0" borderId="40" xfId="0" applyFont="1" applyBorder="1" applyAlignment="1">
      <alignment vertical="center"/>
    </xf>
    <xf numFmtId="0" fontId="0" fillId="0" borderId="40" xfId="0" applyBorder="1" applyAlignment="1">
      <alignment vertical="center"/>
    </xf>
    <xf numFmtId="0" fontId="33" fillId="6" borderId="40" xfId="0" applyFont="1" applyFill="1" applyBorder="1" applyAlignment="1">
      <alignment vertical="center"/>
    </xf>
    <xf numFmtId="0" fontId="21" fillId="0" borderId="40" xfId="0" applyFont="1" applyBorder="1" applyAlignment="1">
      <alignment vertical="center"/>
    </xf>
    <xf numFmtId="0" fontId="5" fillId="0" borderId="40" xfId="0" applyFont="1" applyBorder="1"/>
    <xf numFmtId="0" fontId="8" fillId="29" borderId="2" xfId="0" applyFont="1" applyFill="1" applyBorder="1" applyAlignment="1">
      <alignment horizontal="center" vertical="center"/>
    </xf>
    <xf numFmtId="0" fontId="5" fillId="32" borderId="2" xfId="0" applyFont="1" applyFill="1" applyBorder="1" applyAlignment="1">
      <alignment horizontal="center" vertical="center"/>
    </xf>
    <xf numFmtId="0" fontId="1" fillId="22" borderId="41" xfId="0" applyFont="1" applyFill="1" applyBorder="1" applyAlignment="1">
      <alignment horizontal="center" vertical="center"/>
    </xf>
    <xf numFmtId="0" fontId="32" fillId="23" borderId="46" xfId="0" applyFont="1" applyFill="1" applyBorder="1" applyAlignment="1">
      <alignment horizontal="center" vertical="center"/>
    </xf>
    <xf numFmtId="0" fontId="32" fillId="24" borderId="47" xfId="0" applyFont="1" applyFill="1" applyBorder="1" applyAlignment="1">
      <alignment horizontal="center" vertical="center"/>
    </xf>
    <xf numFmtId="0" fontId="42" fillId="33" borderId="14" xfId="0" applyFont="1" applyFill="1" applyBorder="1" applyAlignment="1">
      <alignment horizontal="center" vertical="center" wrapText="1"/>
    </xf>
    <xf numFmtId="0" fontId="42" fillId="33" borderId="14" xfId="0" applyFont="1" applyFill="1" applyBorder="1" applyAlignment="1">
      <alignment horizontal="center" vertical="center"/>
    </xf>
    <xf numFmtId="0" fontId="57" fillId="33" borderId="14" xfId="0" applyFont="1" applyFill="1" applyBorder="1" applyAlignment="1">
      <alignment horizontal="center" vertical="center" wrapText="1"/>
    </xf>
    <xf numFmtId="0" fontId="10" fillId="34" borderId="4" xfId="0" applyFont="1" applyFill="1" applyBorder="1" applyAlignment="1">
      <alignment horizontal="center" vertical="center" wrapText="1"/>
    </xf>
    <xf numFmtId="0" fontId="10" fillId="34" borderId="8" xfId="0" applyFont="1" applyFill="1" applyBorder="1" applyAlignment="1">
      <alignment horizontal="center" vertical="center" wrapText="1"/>
    </xf>
    <xf numFmtId="0" fontId="43" fillId="6" borderId="15" xfId="0" applyFont="1" applyFill="1" applyBorder="1" applyAlignment="1">
      <alignment horizontal="center" vertical="center" wrapText="1"/>
    </xf>
    <xf numFmtId="0" fontId="6" fillId="6" borderId="15" xfId="0" applyFont="1" applyFill="1" applyBorder="1" applyAlignment="1">
      <alignment horizontal="left" vertical="center" wrapText="1"/>
    </xf>
    <xf numFmtId="0" fontId="15" fillId="36" borderId="9" xfId="0" applyFont="1" applyFill="1" applyBorder="1" applyAlignment="1">
      <alignment horizontal="center" vertical="center" wrapText="1"/>
    </xf>
    <xf numFmtId="0" fontId="18" fillId="37" borderId="10" xfId="0" applyFont="1" applyFill="1" applyBorder="1" applyAlignment="1">
      <alignment horizontal="center" vertical="center" wrapText="1"/>
    </xf>
    <xf numFmtId="0" fontId="18" fillId="38" borderId="10" xfId="0" applyFont="1" applyFill="1" applyBorder="1" applyAlignment="1">
      <alignment horizontal="center" vertical="center" wrapText="1"/>
    </xf>
    <xf numFmtId="0" fontId="15" fillId="37" borderId="13" xfId="0" applyFont="1" applyFill="1" applyBorder="1" applyAlignment="1">
      <alignment horizontal="center" vertical="center" wrapText="1"/>
    </xf>
    <xf numFmtId="0" fontId="49" fillId="39" borderId="42" xfId="0" applyFont="1" applyFill="1" applyBorder="1" applyAlignment="1">
      <alignment horizontal="center" vertical="center"/>
    </xf>
    <xf numFmtId="0" fontId="38" fillId="6" borderId="15" xfId="0" applyFont="1" applyFill="1" applyBorder="1" applyAlignment="1">
      <alignment horizontal="center" vertical="center" wrapText="1"/>
    </xf>
    <xf numFmtId="0" fontId="38" fillId="0" borderId="18" xfId="0" applyFont="1" applyBorder="1" applyAlignment="1">
      <alignment horizontal="center" vertical="center"/>
    </xf>
    <xf numFmtId="0" fontId="22" fillId="24" borderId="15" xfId="0" applyFont="1" applyFill="1" applyBorder="1" applyAlignment="1">
      <alignment horizontal="center" vertical="center" wrapText="1"/>
    </xf>
    <xf numFmtId="0" fontId="39" fillId="6" borderId="18" xfId="0" applyFont="1" applyFill="1" applyBorder="1" applyAlignment="1">
      <alignment horizontal="center" vertical="center" wrapText="1"/>
    </xf>
    <xf numFmtId="0" fontId="39" fillId="6" borderId="38" xfId="0" applyFont="1" applyFill="1" applyBorder="1" applyAlignment="1">
      <alignment vertical="center" wrapText="1"/>
    </xf>
    <xf numFmtId="0" fontId="39" fillId="6" borderId="41" xfId="0" applyFont="1" applyFill="1" applyBorder="1" applyAlignment="1">
      <alignment vertical="center" wrapText="1"/>
    </xf>
    <xf numFmtId="0" fontId="39" fillId="0" borderId="41" xfId="0" applyFont="1" applyBorder="1" applyAlignment="1">
      <alignment horizontal="center" vertical="center"/>
    </xf>
    <xf numFmtId="0" fontId="38" fillId="0" borderId="41" xfId="0" applyFont="1" applyBorder="1" applyAlignment="1">
      <alignment horizontal="center" vertical="center"/>
    </xf>
    <xf numFmtId="0" fontId="11" fillId="40" borderId="18" xfId="0" applyFont="1" applyFill="1" applyBorder="1" applyAlignment="1">
      <alignment horizontal="center" vertical="center" wrapText="1"/>
    </xf>
    <xf numFmtId="0" fontId="39" fillId="40" borderId="36" xfId="0" applyFont="1" applyFill="1" applyBorder="1" applyAlignment="1">
      <alignment horizontal="center" vertical="center" wrapText="1"/>
    </xf>
    <xf numFmtId="0" fontId="40" fillId="40" borderId="4" xfId="0" applyFont="1" applyFill="1" applyBorder="1" applyAlignment="1">
      <alignment horizontal="center" vertical="center" wrapText="1"/>
    </xf>
    <xf numFmtId="0" fontId="40" fillId="40" borderId="15" xfId="0" applyFont="1" applyFill="1" applyBorder="1" applyAlignment="1">
      <alignment horizontal="center" vertical="center" wrapText="1"/>
    </xf>
    <xf numFmtId="0" fontId="11" fillId="40" borderId="18" xfId="0" applyFont="1" applyFill="1" applyBorder="1" applyAlignment="1">
      <alignment horizontal="left" vertical="center"/>
    </xf>
    <xf numFmtId="0" fontId="39" fillId="41" borderId="15" xfId="0" applyFont="1" applyFill="1" applyBorder="1" applyAlignment="1">
      <alignment horizontal="center" vertical="center"/>
    </xf>
    <xf numFmtId="0" fontId="46" fillId="40" borderId="15" xfId="0" applyFont="1" applyFill="1" applyBorder="1" applyAlignment="1">
      <alignment horizontal="center" vertical="center" wrapText="1"/>
    </xf>
    <xf numFmtId="0" fontId="45" fillId="40" borderId="15" xfId="0" applyFont="1" applyFill="1" applyBorder="1" applyAlignment="1">
      <alignment horizontal="center" vertical="center" wrapText="1"/>
    </xf>
    <xf numFmtId="0" fontId="38" fillId="41" borderId="15" xfId="0" applyFont="1" applyFill="1" applyBorder="1" applyAlignment="1">
      <alignment horizontal="center" vertical="center"/>
    </xf>
    <xf numFmtId="0" fontId="24" fillId="40" borderId="15" xfId="0" applyFont="1" applyFill="1" applyBorder="1" applyAlignment="1">
      <alignment horizontal="left" vertical="center"/>
    </xf>
    <xf numFmtId="0" fontId="39" fillId="0" borderId="38" xfId="0" applyFont="1" applyBorder="1" applyAlignment="1">
      <alignment vertical="top" wrapText="1"/>
    </xf>
    <xf numFmtId="0" fontId="39" fillId="0" borderId="41" xfId="0" applyFont="1" applyBorder="1" applyAlignment="1">
      <alignment vertical="top" wrapText="1"/>
    </xf>
    <xf numFmtId="0" fontId="39" fillId="0" borderId="18" xfId="0" applyFont="1" applyBorder="1" applyAlignment="1">
      <alignment horizontal="center" vertical="center" wrapText="1"/>
    </xf>
    <xf numFmtId="0" fontId="39" fillId="6" borderId="38" xfId="0" applyFont="1" applyFill="1" applyBorder="1" applyAlignment="1">
      <alignment vertical="top" wrapText="1"/>
    </xf>
    <xf numFmtId="0" fontId="39" fillId="6" borderId="41" xfId="0" applyFont="1" applyFill="1" applyBorder="1" applyAlignment="1">
      <alignment vertical="top" wrapText="1"/>
    </xf>
    <xf numFmtId="0" fontId="38" fillId="0" borderId="38" xfId="0" applyFont="1" applyBorder="1" applyAlignment="1">
      <alignment horizontal="center" vertical="center"/>
    </xf>
    <xf numFmtId="0" fontId="39" fillId="0" borderId="18" xfId="0" applyFont="1" applyBorder="1" applyAlignment="1">
      <alignment horizontal="center" vertical="center"/>
    </xf>
    <xf numFmtId="0" fontId="39" fillId="0" borderId="38" xfId="0" applyFont="1" applyBorder="1" applyAlignment="1">
      <alignment horizontal="center" vertical="center"/>
    </xf>
    <xf numFmtId="0" fontId="52" fillId="0" borderId="18" xfId="0" applyFont="1" applyBorder="1" applyAlignment="1">
      <alignment horizontal="center" vertical="center"/>
    </xf>
    <xf numFmtId="0" fontId="52" fillId="0" borderId="38" xfId="0" applyFont="1" applyBorder="1" applyAlignment="1">
      <alignment horizontal="center" vertical="center"/>
    </xf>
    <xf numFmtId="0" fontId="52" fillId="0" borderId="41" xfId="0" applyFont="1" applyBorder="1" applyAlignment="1">
      <alignment horizontal="center" vertical="center"/>
    </xf>
    <xf numFmtId="0" fontId="38" fillId="42" borderId="15" xfId="0" applyFont="1" applyFill="1" applyBorder="1" applyAlignment="1">
      <alignment horizontal="center" vertical="center" wrapText="1"/>
    </xf>
    <xf numFmtId="0" fontId="11" fillId="43" borderId="15" xfId="0" applyFont="1" applyFill="1" applyBorder="1" applyAlignment="1">
      <alignment horizontal="center" vertical="center" wrapText="1"/>
    </xf>
    <xf numFmtId="0" fontId="11" fillId="43" borderId="18" xfId="0" applyFont="1" applyFill="1" applyBorder="1" applyAlignment="1">
      <alignment horizontal="center" vertical="center" wrapText="1"/>
    </xf>
    <xf numFmtId="0" fontId="39" fillId="43" borderId="36" xfId="0" applyFont="1" applyFill="1" applyBorder="1" applyAlignment="1">
      <alignment horizontal="center" vertical="center" wrapText="1"/>
    </xf>
    <xf numFmtId="0" fontId="39" fillId="43" borderId="18" xfId="0" applyFont="1" applyFill="1" applyBorder="1" applyAlignment="1">
      <alignment horizontal="center" vertical="center" wrapText="1"/>
    </xf>
    <xf numFmtId="0" fontId="40" fillId="43" borderId="4" xfId="0" applyFont="1" applyFill="1" applyBorder="1" applyAlignment="1">
      <alignment horizontal="center" vertical="center" wrapText="1"/>
    </xf>
    <xf numFmtId="0" fontId="40" fillId="43" borderId="15" xfId="0" applyFont="1" applyFill="1" applyBorder="1" applyAlignment="1">
      <alignment horizontal="center" vertical="center" wrapText="1"/>
    </xf>
    <xf numFmtId="0" fontId="41" fillId="43" borderId="15" xfId="0" applyFont="1" applyFill="1" applyBorder="1" applyAlignment="1">
      <alignment horizontal="center" vertical="center" wrapText="1"/>
    </xf>
    <xf numFmtId="0" fontId="39" fillId="43" borderId="15" xfId="0" applyFont="1" applyFill="1" applyBorder="1" applyAlignment="1">
      <alignment horizontal="center" vertical="center" wrapText="1"/>
    </xf>
    <xf numFmtId="0" fontId="17" fillId="43" borderId="15" xfId="0" applyFont="1" applyFill="1" applyBorder="1" applyAlignment="1">
      <alignment horizontal="center" vertical="center" wrapText="1"/>
    </xf>
    <xf numFmtId="0" fontId="39" fillId="43" borderId="38" xfId="0" applyFont="1" applyFill="1" applyBorder="1" applyAlignment="1">
      <alignment vertical="top" wrapText="1"/>
    </xf>
    <xf numFmtId="0" fontId="52" fillId="42" borderId="38" xfId="0" applyFont="1" applyFill="1" applyBorder="1" applyAlignment="1">
      <alignment horizontal="center" vertical="center"/>
    </xf>
    <xf numFmtId="0" fontId="53" fillId="42" borderId="4" xfId="0" applyFont="1" applyFill="1" applyBorder="1" applyAlignment="1">
      <alignment horizontal="left" vertical="center" wrapText="1"/>
    </xf>
    <xf numFmtId="0" fontId="53" fillId="42" borderId="15" xfId="0" applyFont="1" applyFill="1" applyBorder="1" applyAlignment="1">
      <alignment horizontal="left" vertical="center" wrapText="1"/>
    </xf>
    <xf numFmtId="0" fontId="12" fillId="42" borderId="15" xfId="0" applyFont="1" applyFill="1" applyBorder="1" applyAlignment="1">
      <alignment horizontal="center" vertical="top" wrapText="1"/>
    </xf>
    <xf numFmtId="0" fontId="53" fillId="42" borderId="15" xfId="0" applyFont="1" applyFill="1" applyBorder="1" applyAlignment="1">
      <alignment horizontal="center" vertical="center" wrapText="1"/>
    </xf>
    <xf numFmtId="0" fontId="36" fillId="42" borderId="15" xfId="1" applyFill="1" applyBorder="1" applyAlignment="1">
      <alignment horizontal="center" vertical="center" wrapText="1"/>
    </xf>
    <xf numFmtId="0" fontId="22" fillId="42" borderId="15" xfId="0" applyFont="1" applyFill="1" applyBorder="1" applyAlignment="1">
      <alignment horizontal="center" vertical="center" wrapText="1"/>
    </xf>
    <xf numFmtId="0" fontId="26" fillId="42" borderId="15" xfId="0" applyFont="1" applyFill="1" applyBorder="1" applyAlignment="1">
      <alignment horizontal="left" vertical="center" wrapText="1"/>
    </xf>
    <xf numFmtId="0" fontId="39" fillId="42" borderId="38" xfId="0" applyFont="1" applyFill="1" applyBorder="1" applyAlignment="1">
      <alignment vertical="top" wrapText="1"/>
    </xf>
    <xf numFmtId="0" fontId="39" fillId="42" borderId="18" xfId="0" applyFont="1" applyFill="1" applyBorder="1" applyAlignment="1">
      <alignment horizontal="center" vertical="center"/>
    </xf>
    <xf numFmtId="0" fontId="46" fillId="43" borderId="15" xfId="0" applyFont="1" applyFill="1" applyBorder="1" applyAlignment="1">
      <alignment horizontal="center" vertical="center" wrapText="1"/>
    </xf>
    <xf numFmtId="0" fontId="45" fillId="43" borderId="15" xfId="0" applyFont="1" applyFill="1" applyBorder="1" applyAlignment="1">
      <alignment horizontal="center" vertical="center" wrapText="1"/>
    </xf>
    <xf numFmtId="0" fontId="38" fillId="42" borderId="15" xfId="0" applyFont="1" applyFill="1" applyBorder="1" applyAlignment="1">
      <alignment horizontal="center" vertical="center"/>
    </xf>
    <xf numFmtId="0" fontId="24" fillId="43" borderId="15" xfId="0" applyFont="1" applyFill="1" applyBorder="1" applyAlignment="1">
      <alignment horizontal="left" vertical="center"/>
    </xf>
    <xf numFmtId="0" fontId="40" fillId="0" borderId="40" xfId="0" applyFont="1" applyBorder="1" applyAlignment="1">
      <alignment horizontal="center" vertical="top" wrapText="1"/>
    </xf>
    <xf numFmtId="0" fontId="40" fillId="0" borderId="52" xfId="0" applyFont="1" applyBorder="1" applyAlignment="1">
      <alignment horizontal="center" vertical="top" wrapText="1"/>
    </xf>
    <xf numFmtId="0" fontId="40" fillId="0" borderId="40" xfId="0" applyFont="1" applyBorder="1" applyAlignment="1">
      <alignment vertical="top" wrapText="1"/>
    </xf>
    <xf numFmtId="0" fontId="40" fillId="0" borderId="52" xfId="0" applyFont="1" applyBorder="1" applyAlignment="1">
      <alignment vertical="top" wrapText="1"/>
    </xf>
    <xf numFmtId="0" fontId="49" fillId="0" borderId="40" xfId="0" applyFont="1" applyBorder="1" applyAlignment="1">
      <alignment vertical="center"/>
    </xf>
    <xf numFmtId="0" fontId="49" fillId="35" borderId="48" xfId="0" applyFont="1" applyFill="1" applyBorder="1" applyAlignment="1">
      <alignment horizontal="center" vertical="center"/>
    </xf>
    <xf numFmtId="0" fontId="0" fillId="35" borderId="49" xfId="0" applyFill="1" applyBorder="1" applyAlignment="1">
      <alignment horizontal="center" vertical="center"/>
    </xf>
    <xf numFmtId="0" fontId="0" fillId="35" borderId="50" xfId="0" applyFill="1" applyBorder="1" applyAlignment="1">
      <alignment horizontal="center" vertical="center"/>
    </xf>
    <xf numFmtId="0" fontId="0" fillId="35" borderId="51" xfId="0" applyFill="1" applyBorder="1" applyAlignment="1">
      <alignment horizontal="center" vertical="center"/>
    </xf>
    <xf numFmtId="0" fontId="10" fillId="21" borderId="2" xfId="0" applyFont="1" applyFill="1" applyBorder="1" applyAlignment="1">
      <alignment horizontal="center" vertical="center" wrapText="1"/>
    </xf>
    <xf numFmtId="0" fontId="7" fillId="21" borderId="3" xfId="0" applyFont="1" applyFill="1" applyBorder="1"/>
    <xf numFmtId="0" fontId="5" fillId="0" borderId="2" xfId="0" applyFont="1" applyBorder="1" applyAlignment="1">
      <alignment vertical="center" wrapText="1"/>
    </xf>
    <xf numFmtId="0" fontId="7" fillId="0" borderId="11" xfId="0" applyFont="1" applyBorder="1"/>
    <xf numFmtId="0" fontId="7" fillId="0" borderId="3" xfId="0" applyFont="1" applyBorder="1"/>
    <xf numFmtId="0" fontId="10" fillId="34" borderId="2" xfId="0" applyFont="1" applyFill="1" applyBorder="1" applyAlignment="1">
      <alignment horizontal="center" vertical="center" wrapText="1"/>
    </xf>
    <xf numFmtId="0" fontId="15" fillId="2" borderId="5" xfId="0" applyFont="1" applyFill="1" applyBorder="1" applyAlignment="1">
      <alignment horizontal="center" vertical="center" wrapText="1"/>
    </xf>
    <xf numFmtId="0" fontId="7" fillId="0" borderId="6" xfId="0" applyFont="1" applyBorder="1" applyAlignment="1">
      <alignment vertical="center"/>
    </xf>
    <xf numFmtId="0" fontId="49" fillId="0" borderId="42" xfId="0" applyFont="1" applyBorder="1" applyAlignment="1">
      <alignment horizontal="center" vertical="center"/>
    </xf>
    <xf numFmtId="0" fontId="40" fillId="0" borderId="42" xfId="0" applyFont="1" applyBorder="1" applyAlignment="1">
      <alignment horizontal="left" vertical="top" wrapText="1"/>
    </xf>
    <xf numFmtId="0" fontId="56" fillId="10" borderId="36" xfId="0" applyFont="1" applyFill="1" applyBorder="1" applyAlignment="1">
      <alignment horizontal="center" vertical="center"/>
    </xf>
    <xf numFmtId="0" fontId="56" fillId="10" borderId="20" xfId="0" applyFont="1" applyFill="1" applyBorder="1" applyAlignment="1">
      <alignment horizontal="center" vertical="center"/>
    </xf>
    <xf numFmtId="0" fontId="56" fillId="10" borderId="32" xfId="0" applyFont="1" applyFill="1" applyBorder="1" applyAlignment="1">
      <alignment horizontal="center" vertical="center"/>
    </xf>
    <xf numFmtId="0" fontId="56" fillId="10" borderId="31" xfId="0" applyFont="1" applyFill="1" applyBorder="1" applyAlignment="1">
      <alignment horizontal="center" vertical="center"/>
    </xf>
    <xf numFmtId="0" fontId="23" fillId="9" borderId="45" xfId="0" applyFont="1" applyFill="1" applyBorder="1" applyAlignment="1">
      <alignment horizontal="left" vertical="center" wrapText="1"/>
    </xf>
    <xf numFmtId="0" fontId="23" fillId="9" borderId="28" xfId="0" applyFont="1" applyFill="1" applyBorder="1" applyAlignment="1">
      <alignment horizontal="left" vertical="center" wrapText="1"/>
    </xf>
    <xf numFmtId="0" fontId="23" fillId="9" borderId="4" xfId="0" applyFont="1" applyFill="1" applyBorder="1" applyAlignment="1">
      <alignment horizontal="left" vertical="center" wrapText="1"/>
    </xf>
    <xf numFmtId="0" fontId="30" fillId="7" borderId="2" xfId="0" applyFont="1" applyFill="1" applyBorder="1" applyAlignment="1">
      <alignment horizontal="center"/>
    </xf>
    <xf numFmtId="0" fontId="23" fillId="9" borderId="23" xfId="0" applyFont="1" applyFill="1" applyBorder="1" applyAlignment="1">
      <alignment horizontal="left" vertical="center" wrapText="1"/>
    </xf>
    <xf numFmtId="0" fontId="7" fillId="0" borderId="24" xfId="0" applyFont="1" applyBorder="1" applyAlignment="1">
      <alignment vertical="center"/>
    </xf>
    <xf numFmtId="0" fontId="7" fillId="0" borderId="25" xfId="0" applyFont="1" applyBorder="1" applyAlignment="1">
      <alignment vertical="center"/>
    </xf>
    <xf numFmtId="0" fontId="5" fillId="0" borderId="36" xfId="0" applyFont="1" applyBorder="1" applyAlignment="1">
      <alignment horizontal="center" vertical="center" wrapText="1"/>
    </xf>
    <xf numFmtId="0" fontId="7" fillId="0" borderId="37" xfId="0" applyFont="1" applyBorder="1"/>
    <xf numFmtId="0" fontId="7" fillId="0" borderId="20" xfId="0" applyFont="1" applyBorder="1"/>
    <xf numFmtId="0" fontId="7" fillId="0" borderId="39" xfId="0" applyFont="1" applyBorder="1"/>
    <xf numFmtId="0" fontId="0" fillId="0" borderId="0" xfId="0"/>
    <xf numFmtId="0" fontId="7" fillId="0" borderId="17" xfId="0" applyFont="1" applyBorder="1"/>
    <xf numFmtId="0" fontId="7" fillId="0" borderId="32" xfId="0" applyFont="1" applyBorder="1"/>
    <xf numFmtId="0" fontId="7" fillId="0" borderId="33" xfId="0" applyFont="1" applyBorder="1"/>
    <xf numFmtId="0" fontId="7" fillId="0" borderId="7" xfId="0" applyFont="1" applyBorder="1"/>
    <xf numFmtId="0" fontId="34" fillId="11" borderId="29" xfId="0" applyFont="1" applyFill="1" applyBorder="1" applyAlignment="1">
      <alignment horizontal="center" vertical="center" wrapText="1"/>
    </xf>
    <xf numFmtId="0" fontId="7" fillId="0" borderId="30" xfId="0" applyFont="1" applyBorder="1"/>
    <xf numFmtId="0" fontId="7" fillId="0" borderId="31" xfId="0" applyFont="1" applyBorder="1"/>
    <xf numFmtId="0" fontId="23" fillId="18" borderId="2" xfId="0" applyFont="1" applyFill="1" applyBorder="1" applyAlignment="1">
      <alignment horizontal="center" wrapText="1"/>
    </xf>
    <xf numFmtId="0" fontId="23" fillId="18" borderId="2" xfId="0" applyFont="1" applyFill="1" applyBorder="1" applyAlignment="1">
      <alignment horizontal="center" vertical="top" wrapText="1"/>
    </xf>
    <xf numFmtId="0" fontId="26" fillId="19" borderId="2" xfId="0" applyFont="1" applyFill="1" applyBorder="1"/>
    <xf numFmtId="0" fontId="21" fillId="20" borderId="18" xfId="0" applyFont="1" applyFill="1" applyBorder="1" applyAlignment="1">
      <alignment horizontal="center" vertical="center" wrapText="1"/>
    </xf>
    <xf numFmtId="0" fontId="7" fillId="0" borderId="38" xfId="0" applyFont="1" applyBorder="1"/>
    <xf numFmtId="0" fontId="7" fillId="0" borderId="19" xfId="0" applyFont="1" applyBorder="1"/>
    <xf numFmtId="0" fontId="21" fillId="20" borderId="36" xfId="0" applyFont="1" applyFill="1" applyBorder="1" applyAlignment="1">
      <alignment horizontal="center" vertical="center"/>
    </xf>
    <xf numFmtId="0" fontId="21" fillId="20" borderId="18" xfId="0" applyFont="1" applyFill="1" applyBorder="1" applyAlignment="1">
      <alignment horizontal="center"/>
    </xf>
    <xf numFmtId="0" fontId="21" fillId="0" borderId="18" xfId="0" applyFont="1" applyBorder="1" applyAlignment="1">
      <alignment horizontal="center" vertical="top" wrapText="1"/>
    </xf>
    <xf numFmtId="0" fontId="21" fillId="0" borderId="18" xfId="0" applyFont="1" applyBorder="1" applyAlignment="1">
      <alignment horizontal="center" vertical="center"/>
    </xf>
    <xf numFmtId="0" fontId="21" fillId="0" borderId="18" xfId="0" applyFont="1" applyBorder="1" applyAlignment="1">
      <alignment horizontal="center" vertical="center" wrapText="1"/>
    </xf>
  </cellXfs>
  <cellStyles count="2">
    <cellStyle name="Hyperlink" xfId="1" builtinId="8"/>
    <cellStyle name="Normal" xfId="0" builtinId="0"/>
  </cellStyles>
  <dxfs count="46">
    <dxf>
      <font>
        <color rgb="FF9C0006"/>
      </font>
      <fill>
        <patternFill>
          <bgColor rgb="FFFFC7CE"/>
        </patternFill>
      </fill>
    </dxf>
    <dxf>
      <fill>
        <patternFill>
          <bgColor rgb="FFFF0000"/>
        </patternFill>
      </fill>
    </dxf>
    <dxf>
      <fill>
        <patternFill>
          <bgColor theme="7" tint="0.59996337778862885"/>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ill>
        <patternFill>
          <bgColor rgb="FFFF0000"/>
        </patternFill>
      </fill>
    </dxf>
    <dxf>
      <fill>
        <patternFill>
          <bgColor theme="5"/>
        </patternFill>
      </fill>
    </dxf>
    <dxf>
      <fill>
        <patternFill>
          <bgColor theme="7"/>
        </patternFill>
      </fill>
    </dxf>
    <dxf>
      <fill>
        <patternFill>
          <bgColor theme="7" tint="0.79998168889431442"/>
        </patternFill>
      </fill>
    </dxf>
    <dxf>
      <font>
        <color rgb="FF9C0006"/>
      </font>
      <fill>
        <patternFill>
          <bgColor rgb="FFFFC7CE"/>
        </patternFill>
      </fill>
    </dxf>
    <dxf>
      <fill>
        <patternFill>
          <bgColor rgb="FFFF0000"/>
        </patternFill>
      </fill>
    </dxf>
    <dxf>
      <fill>
        <patternFill>
          <bgColor theme="7" tint="0.59996337778862885"/>
        </patternFill>
      </fill>
    </dxf>
    <dxf>
      <fill>
        <patternFill patternType="none">
          <bgColor auto="1"/>
        </patternFill>
      </fill>
    </dxf>
    <dxf>
      <fill>
        <patternFill patternType="none">
          <bgColor auto="1"/>
        </patternFill>
      </fill>
    </dxf>
    <dxf>
      <fill>
        <patternFill patternType="none">
          <bgColor auto="1"/>
        </patternFill>
      </fill>
    </dxf>
    <dxf>
      <font>
        <color theme="1"/>
      </font>
    </dxf>
    <dxf>
      <font>
        <color theme="1"/>
      </font>
    </dxf>
    <dxf>
      <font>
        <color theme="1"/>
      </font>
    </dxf>
    <dxf>
      <font>
        <color theme="1"/>
      </font>
    </dxf>
    <dxf>
      <font>
        <color theme="1"/>
      </font>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bgColor rgb="FFFFFF00"/>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bgColor rgb="FFFFFF00"/>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
      <fill>
        <patternFill>
          <bgColor rgb="FFFFFF00"/>
        </patternFill>
      </fill>
    </dxf>
    <dxf>
      <fill>
        <patternFill>
          <bgColor rgb="FFFFFF00"/>
        </patternFill>
      </fill>
    </dxf>
    <dxf>
      <fill>
        <patternFill patternType="solid">
          <fgColor rgb="FFFF00FF"/>
          <bgColor rgb="FFFF00FF"/>
        </patternFill>
      </fill>
    </dxf>
    <dxf>
      <fill>
        <patternFill patternType="solid">
          <fgColor rgb="FFFFE599"/>
          <bgColor rgb="FFFFE599"/>
        </patternFill>
      </fill>
    </dxf>
    <dxf>
      <fill>
        <patternFill patternType="solid">
          <fgColor rgb="FFCC4125"/>
          <bgColor rgb="FFCC4125"/>
        </patternFill>
      </fill>
    </dxf>
    <dxf>
      <fill>
        <patternFill patternType="solid">
          <fgColor rgb="FF93C47D"/>
          <bgColor rgb="FF93C47D"/>
        </patternFill>
      </fill>
    </dxf>
  </dxfs>
  <tableStyles count="0" defaultTableStyle="TableStyleMedium2" defaultPivotStyle="PivotStyleLight16"/>
  <colors>
    <mruColors>
      <color rgb="FFF94C07"/>
      <color rgb="FFFFFF99"/>
      <color rgb="FFFDD7DF"/>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3" Type="http://schemas.openxmlformats.org/officeDocument/2006/relationships/worksheet" Target="worksheets/sheet3.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lvl="0">
              <a:defRPr sz="1800" b="1" i="0" u="none" strike="noStrike" kern="1200" baseline="0">
                <a:solidFill>
                  <a:srgbClr val="404040"/>
                </a:solidFill>
                <a:latin typeface="Calibri"/>
                <a:ea typeface="+mn-ea"/>
                <a:cs typeface="+mn-cs"/>
              </a:defRPr>
            </a:pPr>
            <a:r>
              <a:rPr lang="en-GB" sz="1800" b="1" i="0">
                <a:solidFill>
                  <a:srgbClr val="404040"/>
                </a:solidFill>
                <a:latin typeface="Calibri"/>
              </a:rPr>
              <a:t>Test Case Report</a:t>
            </a:r>
          </a:p>
        </c:rich>
      </c:tx>
      <c:overlay val="0"/>
      <c:spPr>
        <a:noFill/>
        <a:ln>
          <a:noFill/>
        </a:ln>
        <a:effectLst/>
      </c:spPr>
      <c:txPr>
        <a:bodyPr rot="0" spcFirstLastPara="1" vertOverflow="ellipsis" vert="horz" wrap="square" anchor="ctr" anchorCtr="1"/>
        <a:lstStyle/>
        <a:p>
          <a:pPr lvl="0">
            <a:defRPr sz="1800" b="1" i="0" u="none" strike="noStrike" kern="1200" baseline="0">
              <a:solidFill>
                <a:srgbClr val="404040"/>
              </a:solidFill>
              <a:latin typeface="Calibri"/>
              <a:ea typeface="+mn-ea"/>
              <a:cs typeface="+mn-cs"/>
            </a:defRPr>
          </a:pPr>
          <a:endParaRPr lang="en-US"/>
        </a:p>
      </c:txPr>
    </c:title>
    <c:autoTitleDeleted val="0"/>
    <c:plotArea>
      <c:layout/>
      <c:doughnutChart>
        <c:varyColors val="1"/>
        <c:ser>
          <c:idx val="0"/>
          <c:order val="0"/>
          <c:dPt>
            <c:idx val="0"/>
            <c:bubble3D val="0"/>
            <c:spPr>
              <a:solidFill>
                <a:schemeClr val="accent1"/>
              </a:solidFill>
              <a:ln>
                <a:noFill/>
              </a:ln>
              <a:effectLst/>
            </c:spPr>
            <c:extLst>
              <c:ext xmlns:c16="http://schemas.microsoft.com/office/drawing/2014/chart" uri="{C3380CC4-5D6E-409C-BE32-E72D297353CC}">
                <c16:uniqueId val="{00000001-4409-D348-B182-6BC00FDA1447}"/>
              </c:ext>
            </c:extLst>
          </c:dPt>
          <c:dPt>
            <c:idx val="1"/>
            <c:bubble3D val="0"/>
            <c:spPr>
              <a:solidFill>
                <a:schemeClr val="accent2"/>
              </a:solidFill>
              <a:ln>
                <a:noFill/>
              </a:ln>
              <a:effectLst/>
            </c:spPr>
            <c:extLst>
              <c:ext xmlns:c16="http://schemas.microsoft.com/office/drawing/2014/chart" uri="{C3380CC4-5D6E-409C-BE32-E72D297353CC}">
                <c16:uniqueId val="{00000003-4409-D348-B182-6BC00FDA1447}"/>
              </c:ext>
            </c:extLst>
          </c:dPt>
          <c:dPt>
            <c:idx val="2"/>
            <c:bubble3D val="0"/>
            <c:spPr>
              <a:solidFill>
                <a:schemeClr val="accent3"/>
              </a:solidFill>
              <a:ln>
                <a:noFill/>
              </a:ln>
              <a:effectLst/>
            </c:spPr>
            <c:extLst>
              <c:ext xmlns:c16="http://schemas.microsoft.com/office/drawing/2014/chart" uri="{C3380CC4-5D6E-409C-BE32-E72D297353CC}">
                <c16:uniqueId val="{00000005-4409-D348-B182-6BC00FDA1447}"/>
              </c:ext>
            </c:extLst>
          </c:dPt>
          <c:dPt>
            <c:idx val="3"/>
            <c:bubble3D val="0"/>
            <c:spPr>
              <a:solidFill>
                <a:schemeClr val="accent4"/>
              </a:solidFill>
              <a:ln>
                <a:noFill/>
              </a:ln>
              <a:effectLst/>
            </c:spPr>
            <c:extLst>
              <c:ext xmlns:c16="http://schemas.microsoft.com/office/drawing/2014/chart" uri="{C3380CC4-5D6E-409C-BE32-E72D297353CC}">
                <c16:uniqueId val="{00000007-4409-D348-B182-6BC00FDA1447}"/>
              </c:ext>
            </c:extLst>
          </c:dPt>
          <c:dLbls>
            <c:dLbl>
              <c:idx val="0"/>
              <c:spPr>
                <a:noFill/>
                <a:ln>
                  <a:noFill/>
                </a:ln>
                <a:effectLst/>
              </c:spPr>
              <c:txPr>
                <a:bodyPr rot="0" spcFirstLastPara="1" vertOverflow="ellipsis" vert="horz" wrap="square" anchor="ctr" anchorCtr="1"/>
                <a:lstStyle/>
                <a:p>
                  <a:pPr lvl="0">
                    <a:defRPr sz="1000" b="1" i="0" u="none" strike="noStrike" kern="1200" baseline="0">
                      <a:solidFill>
                        <a:srgbClr val="FFFFFF"/>
                      </a:solidFill>
                      <a:latin typeface="Calibri"/>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1-4409-D348-B182-6BC00FDA1447}"/>
                </c:ext>
              </c:extLst>
            </c:dLbl>
            <c:dLbl>
              <c:idx val="1"/>
              <c:spPr>
                <a:noFill/>
                <a:ln>
                  <a:noFill/>
                </a:ln>
                <a:effectLst/>
              </c:spPr>
              <c:txPr>
                <a:bodyPr rot="0" spcFirstLastPara="1" vertOverflow="ellipsis" vert="horz" wrap="square" anchor="ctr" anchorCtr="1"/>
                <a:lstStyle/>
                <a:p>
                  <a:pPr lvl="0">
                    <a:defRPr sz="1000" b="1" i="0" u="none" strike="noStrike" kern="1200" baseline="0">
                      <a:solidFill>
                        <a:srgbClr val="FFFFFF"/>
                      </a:solidFill>
                      <a:latin typeface="Calibri"/>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3-4409-D348-B182-6BC00FDA1447}"/>
                </c:ext>
              </c:extLst>
            </c:dLbl>
            <c:dLbl>
              <c:idx val="2"/>
              <c:spPr>
                <a:noFill/>
                <a:ln>
                  <a:noFill/>
                </a:ln>
                <a:effectLst/>
              </c:spPr>
              <c:txPr>
                <a:bodyPr rot="0" spcFirstLastPara="1" vertOverflow="ellipsis" vert="horz" wrap="square" anchor="ctr" anchorCtr="1"/>
                <a:lstStyle/>
                <a:p>
                  <a:pPr lvl="0">
                    <a:defRPr sz="1000" b="1" i="0" u="none" strike="noStrike" kern="1200" baseline="0">
                      <a:solidFill>
                        <a:srgbClr val="FFFFFF"/>
                      </a:solidFill>
                      <a:latin typeface="Calibri"/>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5-4409-D348-B182-6BC00FDA1447}"/>
                </c:ext>
              </c:extLst>
            </c:dLbl>
            <c:dLbl>
              <c:idx val="3"/>
              <c:spPr>
                <a:noFill/>
                <a:ln>
                  <a:noFill/>
                </a:ln>
                <a:effectLst/>
              </c:spPr>
              <c:txPr>
                <a:bodyPr rot="0" spcFirstLastPara="1" vertOverflow="ellipsis" vert="horz" wrap="square" anchor="ctr" anchorCtr="1"/>
                <a:lstStyle/>
                <a:p>
                  <a:pPr lvl="0">
                    <a:defRPr sz="1000" b="1" i="0" u="none" strike="noStrike" kern="1200" baseline="0">
                      <a:solidFill>
                        <a:srgbClr val="FFFFFF"/>
                      </a:solidFill>
                      <a:latin typeface="Calibri"/>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7-4409-D348-B182-6BC00FDA144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6350" cap="flat" cmpd="sng" algn="ctr">
                  <a:solidFill>
                    <a:schemeClr val="tx1"/>
                  </a:solidFill>
                  <a:prstDash val="solid"/>
                  <a:round/>
                </a:ln>
                <a:effectLst/>
              </c:spPr>
            </c:leaderLines>
            <c:extLst>
              <c:ext xmlns:c15="http://schemas.microsoft.com/office/drawing/2012/chart" uri="{CE6537A1-D6FC-4f65-9D91-7224C49458BB}"/>
            </c:extLst>
          </c:dLbls>
          <c:cat>
            <c:strRef>
              <c:f>'Test Summary Report'!$J$8:$J$11</c:f>
              <c:strCache>
                <c:ptCount val="4"/>
                <c:pt idx="0">
                  <c:v>PASS</c:v>
                </c:pt>
                <c:pt idx="1">
                  <c:v>FAIL</c:v>
                </c:pt>
                <c:pt idx="2">
                  <c:v>Warning</c:v>
                </c:pt>
                <c:pt idx="3">
                  <c:v>Blocked</c:v>
                </c:pt>
              </c:strCache>
            </c:strRef>
          </c:cat>
          <c:val>
            <c:numRef>
              <c:f>'Test Summary Report'!$I$8:$I$11</c:f>
              <c:numCache>
                <c:formatCode>General</c:formatCode>
                <c:ptCount val="4"/>
                <c:pt idx="0">
                  <c:v>49</c:v>
                </c:pt>
                <c:pt idx="1">
                  <c:v>13</c:v>
                </c:pt>
                <c:pt idx="2">
                  <c:v>1</c:v>
                </c:pt>
                <c:pt idx="3">
                  <c:v>0</c:v>
                </c:pt>
              </c:numCache>
            </c:numRef>
          </c:val>
          <c:extLst>
            <c:ext xmlns:c16="http://schemas.microsoft.com/office/drawing/2014/chart" uri="{C3380CC4-5D6E-409C-BE32-E72D297353CC}">
              <c16:uniqueId val="{00000008-4409-D348-B182-6BC00FDA144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1451618432950648"/>
          <c:y val="0.33528768264062381"/>
        </c:manualLayout>
      </c:layout>
      <c:overlay val="0"/>
      <c:spPr>
        <a:noFill/>
        <a:ln>
          <a:noFill/>
        </a:ln>
        <a:effectLst/>
      </c:spPr>
      <c:txPr>
        <a:bodyPr rot="0" spcFirstLastPara="1" vertOverflow="ellipsis" vert="horz" wrap="square" anchor="ctr" anchorCtr="1"/>
        <a:lstStyle/>
        <a:p>
          <a:pPr lvl="0">
            <a:defRPr sz="900" b="0" i="0" u="none" strike="noStrike" kern="1200" baseline="0">
              <a:solidFill>
                <a:srgbClr val="404040"/>
              </a:solidFill>
              <a:latin typeface="Calibri"/>
              <a:ea typeface="+mn-ea"/>
              <a:cs typeface="+mn-cs"/>
            </a:defRPr>
          </a:pPr>
          <a:endParaRPr lang="en-US"/>
        </a:p>
      </c:txPr>
    </c:legend>
    <c:plotVisOnly val="1"/>
    <c:dispBlanksAs val="zero"/>
    <c:showDLblsOverMax val="1"/>
  </c:chart>
  <c:spPr>
    <a:solidFill>
      <a:srgbClr val="FFFFFF"/>
    </a:solidFill>
    <a:ln w="6350" cap="flat" cmpd="sng" algn="ctr">
      <a:solidFill>
        <a:schemeClr val="tx1">
          <a:tint val="75000"/>
        </a:schemeClr>
      </a:solidFill>
      <a:prstDash val="solid"/>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8" Type="http://schemas.openxmlformats.org/officeDocument/2006/relationships/image" Target="../media/image19.png"/><Relationship Id="rId3" Type="http://schemas.openxmlformats.org/officeDocument/2006/relationships/image" Target="../media/image14.png"/><Relationship Id="rId7" Type="http://schemas.openxmlformats.org/officeDocument/2006/relationships/image" Target="../media/image18.png"/><Relationship Id="rId2" Type="http://schemas.openxmlformats.org/officeDocument/2006/relationships/image" Target="../media/image13.png"/><Relationship Id="rId1" Type="http://schemas.openxmlformats.org/officeDocument/2006/relationships/image" Target="../media/image12.png"/><Relationship Id="rId6" Type="http://schemas.openxmlformats.org/officeDocument/2006/relationships/image" Target="../media/image17.png"/><Relationship Id="rId5" Type="http://schemas.openxmlformats.org/officeDocument/2006/relationships/image" Target="../media/image16.png"/><Relationship Id="rId4" Type="http://schemas.openxmlformats.org/officeDocument/2006/relationships/image" Target="../media/image15.png"/><Relationship Id="rId9" Type="http://schemas.openxmlformats.org/officeDocument/2006/relationships/image" Target="../media/image2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31</xdr:col>
      <xdr:colOff>141844</xdr:colOff>
      <xdr:row>58</xdr:row>
      <xdr:rowOff>33653</xdr:rowOff>
    </xdr:to>
    <xdr:pic>
      <xdr:nvPicPr>
        <xdr:cNvPr id="6" name="Picture 5">
          <a:extLst>
            <a:ext uri="{FF2B5EF4-FFF2-40B4-BE49-F238E27FC236}">
              <a16:creationId xmlns:a16="http://schemas.microsoft.com/office/drawing/2014/main" id="{76DEAB83-895F-4D86-A695-57CEFF7B166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7377558" cy="967960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67</xdr:row>
      <xdr:rowOff>17162</xdr:rowOff>
    </xdr:from>
    <xdr:to>
      <xdr:col>10</xdr:col>
      <xdr:colOff>17162</xdr:colOff>
      <xdr:row>67</xdr:row>
      <xdr:rowOff>1458784</xdr:rowOff>
    </xdr:to>
    <xdr:sp macro="" textlink="">
      <xdr:nvSpPr>
        <xdr:cNvPr id="6" name="Rectangle 5">
          <a:extLst>
            <a:ext uri="{FF2B5EF4-FFF2-40B4-BE49-F238E27FC236}">
              <a16:creationId xmlns:a16="http://schemas.microsoft.com/office/drawing/2014/main" id="{963F05D4-A2C5-48DC-B2EB-FD0A65584517}"/>
            </a:ext>
          </a:extLst>
        </xdr:cNvPr>
        <xdr:cNvSpPr/>
      </xdr:nvSpPr>
      <xdr:spPr>
        <a:xfrm>
          <a:off x="15754865" y="17608378"/>
          <a:ext cx="1905000" cy="1441622"/>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35278</xdr:colOff>
      <xdr:row>69</xdr:row>
      <xdr:rowOff>23518</xdr:rowOff>
    </xdr:from>
    <xdr:to>
      <xdr:col>9</xdr:col>
      <xdr:colOff>1846204</xdr:colOff>
      <xdr:row>69</xdr:row>
      <xdr:rowOff>1634537</xdr:rowOff>
    </xdr:to>
    <xdr:sp macro="" textlink="">
      <xdr:nvSpPr>
        <xdr:cNvPr id="3" name="Rectangle 2">
          <a:extLst>
            <a:ext uri="{FF2B5EF4-FFF2-40B4-BE49-F238E27FC236}">
              <a16:creationId xmlns:a16="http://schemas.microsoft.com/office/drawing/2014/main" id="{1C1D4724-0D25-47FB-8BA2-D8EE63562C60}"/>
            </a:ext>
          </a:extLst>
        </xdr:cNvPr>
        <xdr:cNvSpPr/>
      </xdr:nvSpPr>
      <xdr:spPr>
        <a:xfrm>
          <a:off x="15792685" y="22283796"/>
          <a:ext cx="1810926" cy="1611019"/>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11760</xdr:colOff>
      <xdr:row>12</xdr:row>
      <xdr:rowOff>0</xdr:rowOff>
    </xdr:from>
    <xdr:to>
      <xdr:col>9</xdr:col>
      <xdr:colOff>1869723</xdr:colOff>
      <xdr:row>12</xdr:row>
      <xdr:rowOff>1599259</xdr:rowOff>
    </xdr:to>
    <xdr:sp macro="" textlink="">
      <xdr:nvSpPr>
        <xdr:cNvPr id="4" name="Rectangle 3">
          <a:extLst>
            <a:ext uri="{FF2B5EF4-FFF2-40B4-BE49-F238E27FC236}">
              <a16:creationId xmlns:a16="http://schemas.microsoft.com/office/drawing/2014/main" id="{0CB674D1-8F23-44A1-BAD1-DEDB4ACBE325}"/>
            </a:ext>
          </a:extLst>
        </xdr:cNvPr>
        <xdr:cNvSpPr/>
      </xdr:nvSpPr>
      <xdr:spPr>
        <a:xfrm>
          <a:off x="15769167" y="23930093"/>
          <a:ext cx="1857963" cy="1599259"/>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14</xdr:row>
      <xdr:rowOff>82315</xdr:rowOff>
    </xdr:from>
    <xdr:to>
      <xdr:col>9</xdr:col>
      <xdr:colOff>1857963</xdr:colOff>
      <xdr:row>14</xdr:row>
      <xdr:rowOff>1587500</xdr:rowOff>
    </xdr:to>
    <xdr:sp macro="" textlink="">
      <xdr:nvSpPr>
        <xdr:cNvPr id="5" name="Rectangle 4">
          <a:extLst>
            <a:ext uri="{FF2B5EF4-FFF2-40B4-BE49-F238E27FC236}">
              <a16:creationId xmlns:a16="http://schemas.microsoft.com/office/drawing/2014/main" id="{FDDDE2A3-A88A-4032-B721-1CCC7D732718}"/>
            </a:ext>
          </a:extLst>
        </xdr:cNvPr>
        <xdr:cNvSpPr/>
      </xdr:nvSpPr>
      <xdr:spPr>
        <a:xfrm>
          <a:off x="15757407" y="25635185"/>
          <a:ext cx="1857963" cy="1505185"/>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11760</xdr:colOff>
      <xdr:row>17</xdr:row>
      <xdr:rowOff>47037</xdr:rowOff>
    </xdr:from>
    <xdr:to>
      <xdr:col>9</xdr:col>
      <xdr:colOff>1857963</xdr:colOff>
      <xdr:row>17</xdr:row>
      <xdr:rowOff>2246019</xdr:rowOff>
    </xdr:to>
    <xdr:sp macro="" textlink="">
      <xdr:nvSpPr>
        <xdr:cNvPr id="9" name="Rectangle 8">
          <a:extLst>
            <a:ext uri="{FF2B5EF4-FFF2-40B4-BE49-F238E27FC236}">
              <a16:creationId xmlns:a16="http://schemas.microsoft.com/office/drawing/2014/main" id="{74A3DA0E-8BE0-43C2-A6CC-7D59F811BA9D}"/>
            </a:ext>
          </a:extLst>
        </xdr:cNvPr>
        <xdr:cNvSpPr/>
      </xdr:nvSpPr>
      <xdr:spPr>
        <a:xfrm>
          <a:off x="15769167" y="29398148"/>
          <a:ext cx="1846203" cy="2198982"/>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47037</xdr:colOff>
      <xdr:row>13</xdr:row>
      <xdr:rowOff>23518</xdr:rowOff>
    </xdr:from>
    <xdr:to>
      <xdr:col>9</xdr:col>
      <xdr:colOff>1822686</xdr:colOff>
      <xdr:row>13</xdr:row>
      <xdr:rowOff>1563981</xdr:rowOff>
    </xdr:to>
    <xdr:sp macro="" textlink="">
      <xdr:nvSpPr>
        <xdr:cNvPr id="10" name="Rectangle 9">
          <a:extLst>
            <a:ext uri="{FF2B5EF4-FFF2-40B4-BE49-F238E27FC236}">
              <a16:creationId xmlns:a16="http://schemas.microsoft.com/office/drawing/2014/main" id="{94AE605A-55F4-4CE4-BB77-C6DDBBD984C0}"/>
            </a:ext>
          </a:extLst>
        </xdr:cNvPr>
        <xdr:cNvSpPr/>
      </xdr:nvSpPr>
      <xdr:spPr>
        <a:xfrm>
          <a:off x="15804444" y="30303611"/>
          <a:ext cx="1775649" cy="1540463"/>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35278</xdr:colOff>
      <xdr:row>15</xdr:row>
      <xdr:rowOff>47037</xdr:rowOff>
    </xdr:from>
    <xdr:to>
      <xdr:col>9</xdr:col>
      <xdr:colOff>1822686</xdr:colOff>
      <xdr:row>15</xdr:row>
      <xdr:rowOff>1528704</xdr:rowOff>
    </xdr:to>
    <xdr:sp macro="" textlink="">
      <xdr:nvSpPr>
        <xdr:cNvPr id="11" name="Rectangle 10">
          <a:extLst>
            <a:ext uri="{FF2B5EF4-FFF2-40B4-BE49-F238E27FC236}">
              <a16:creationId xmlns:a16="http://schemas.microsoft.com/office/drawing/2014/main" id="{11087A14-691F-4C11-AB12-CE69F9A97516}"/>
            </a:ext>
          </a:extLst>
        </xdr:cNvPr>
        <xdr:cNvSpPr/>
      </xdr:nvSpPr>
      <xdr:spPr>
        <a:xfrm>
          <a:off x="15792685" y="33572685"/>
          <a:ext cx="1787408" cy="1481667"/>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88900</xdr:colOff>
      <xdr:row>71</xdr:row>
      <xdr:rowOff>63500</xdr:rowOff>
    </xdr:from>
    <xdr:to>
      <xdr:col>9</xdr:col>
      <xdr:colOff>1841500</xdr:colOff>
      <xdr:row>71</xdr:row>
      <xdr:rowOff>1981200</xdr:rowOff>
    </xdr:to>
    <xdr:sp macro="" textlink="">
      <xdr:nvSpPr>
        <xdr:cNvPr id="12" name="Rectangle 11">
          <a:extLst>
            <a:ext uri="{FF2B5EF4-FFF2-40B4-BE49-F238E27FC236}">
              <a16:creationId xmlns:a16="http://schemas.microsoft.com/office/drawing/2014/main" id="{C19991DE-B6E2-480B-8F6D-B51F70E8F075}"/>
            </a:ext>
          </a:extLst>
        </xdr:cNvPr>
        <xdr:cNvSpPr/>
      </xdr:nvSpPr>
      <xdr:spPr>
        <a:xfrm>
          <a:off x="15862300" y="78143100"/>
          <a:ext cx="1752600" cy="1917700"/>
        </a:xfrm>
        <a:prstGeom prst="rect">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23938</xdr:colOff>
      <xdr:row>10</xdr:row>
      <xdr:rowOff>80216</xdr:rowOff>
    </xdr:from>
    <xdr:to>
      <xdr:col>9</xdr:col>
      <xdr:colOff>1497373</xdr:colOff>
      <xdr:row>10</xdr:row>
      <xdr:rowOff>1491327</xdr:rowOff>
    </xdr:to>
    <xdr:sp macro="" textlink="">
      <xdr:nvSpPr>
        <xdr:cNvPr id="14" name="Rectangle 13">
          <a:extLst>
            <a:ext uri="{FF2B5EF4-FFF2-40B4-BE49-F238E27FC236}">
              <a16:creationId xmlns:a16="http://schemas.microsoft.com/office/drawing/2014/main" id="{452AE256-9821-4419-960A-5DCA1E336DD0}"/>
            </a:ext>
          </a:extLst>
        </xdr:cNvPr>
        <xdr:cNvSpPr/>
      </xdr:nvSpPr>
      <xdr:spPr>
        <a:xfrm>
          <a:off x="12417777" y="6974502"/>
          <a:ext cx="1473435" cy="1411111"/>
        </a:xfrm>
        <a:prstGeom prst="rect">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11760</xdr:colOff>
      <xdr:row>11</xdr:row>
      <xdr:rowOff>0</xdr:rowOff>
    </xdr:from>
    <xdr:to>
      <xdr:col>9</xdr:col>
      <xdr:colOff>1869723</xdr:colOff>
      <xdr:row>11</xdr:row>
      <xdr:rowOff>1599259</xdr:rowOff>
    </xdr:to>
    <xdr:sp macro="" textlink="">
      <xdr:nvSpPr>
        <xdr:cNvPr id="16" name="Rectangle 15">
          <a:extLst>
            <a:ext uri="{FF2B5EF4-FFF2-40B4-BE49-F238E27FC236}">
              <a16:creationId xmlns:a16="http://schemas.microsoft.com/office/drawing/2014/main" id="{87FAEE35-8226-49C2-809C-E53C6BAA012D}"/>
            </a:ext>
          </a:extLst>
        </xdr:cNvPr>
        <xdr:cNvSpPr/>
      </xdr:nvSpPr>
      <xdr:spPr>
        <a:xfrm>
          <a:off x="16322189" y="43688000"/>
          <a:ext cx="1857963" cy="1599259"/>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0</xdr:colOff>
      <xdr:row>68</xdr:row>
      <xdr:rowOff>11759</xdr:rowOff>
    </xdr:from>
    <xdr:to>
      <xdr:col>10</xdr:col>
      <xdr:colOff>11759</xdr:colOff>
      <xdr:row>68</xdr:row>
      <xdr:rowOff>1469907</xdr:rowOff>
    </xdr:to>
    <xdr:sp macro="" textlink="">
      <xdr:nvSpPr>
        <xdr:cNvPr id="18" name="Rectangle 17">
          <a:extLst>
            <a:ext uri="{FF2B5EF4-FFF2-40B4-BE49-F238E27FC236}">
              <a16:creationId xmlns:a16="http://schemas.microsoft.com/office/drawing/2014/main" id="{73C7E62B-584F-4C8A-85C6-C40A90A77C62}"/>
            </a:ext>
          </a:extLst>
        </xdr:cNvPr>
        <xdr:cNvSpPr/>
      </xdr:nvSpPr>
      <xdr:spPr>
        <a:xfrm>
          <a:off x="16310429" y="40488473"/>
          <a:ext cx="1898616" cy="1458148"/>
        </a:xfrm>
        <a:prstGeom prst="rect">
          <a:avLst/>
        </a:prstGeom>
        <a:blipFill dpi="0" rotWithShape="1">
          <a:blip xmlns:r="http://schemas.openxmlformats.org/officeDocument/2006/relationships" r:embed="rId10"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10</xdr:col>
      <xdr:colOff>326124</xdr:colOff>
      <xdr:row>3</xdr:row>
      <xdr:rowOff>314381</xdr:rowOff>
    </xdr:from>
    <xdr:ext cx="4657725" cy="2933700"/>
    <xdr:graphicFrame macro="">
      <xdr:nvGraphicFramePr>
        <xdr:cNvPr id="1054319433" name="Chart 1">
          <a:extLst>
            <a:ext uri="{FF2B5EF4-FFF2-40B4-BE49-F238E27FC236}">
              <a16:creationId xmlns:a16="http://schemas.microsoft.com/office/drawing/2014/main" id="{00000000-0008-0000-0400-000049A3D7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dr:twoCellAnchor>
    <xdr:from>
      <xdr:col>7</xdr:col>
      <xdr:colOff>6350</xdr:colOff>
      <xdr:row>1</xdr:row>
      <xdr:rowOff>19050</xdr:rowOff>
    </xdr:from>
    <xdr:to>
      <xdr:col>7</xdr:col>
      <xdr:colOff>1028700</xdr:colOff>
      <xdr:row>1</xdr:row>
      <xdr:rowOff>908050</xdr:rowOff>
    </xdr:to>
    <xdr:sp macro="" textlink="">
      <xdr:nvSpPr>
        <xdr:cNvPr id="3" name="Rectangle 2">
          <a:extLst>
            <a:ext uri="{FF2B5EF4-FFF2-40B4-BE49-F238E27FC236}">
              <a16:creationId xmlns:a16="http://schemas.microsoft.com/office/drawing/2014/main" id="{5BB243E6-39CB-49AE-9578-C7E5CE3BBBE9}"/>
            </a:ext>
          </a:extLst>
        </xdr:cNvPr>
        <xdr:cNvSpPr/>
      </xdr:nvSpPr>
      <xdr:spPr>
        <a:xfrm>
          <a:off x="7416800" y="184150"/>
          <a:ext cx="1022350" cy="889000"/>
        </a:xfrm>
        <a:prstGeom prst="rect">
          <a:avLst/>
        </a:prstGeom>
        <a:blipFill dpi="0" rotWithShape="1">
          <a:blip xmlns:r="http://schemas.openxmlformats.org/officeDocument/2006/relationships" r:embed="rId1"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12700</xdr:colOff>
      <xdr:row>2</xdr:row>
      <xdr:rowOff>19050</xdr:rowOff>
    </xdr:from>
    <xdr:to>
      <xdr:col>7</xdr:col>
      <xdr:colOff>1028700</xdr:colOff>
      <xdr:row>2</xdr:row>
      <xdr:rowOff>787400</xdr:rowOff>
    </xdr:to>
    <xdr:sp macro="" textlink="">
      <xdr:nvSpPr>
        <xdr:cNvPr id="2" name="Rectangle 1">
          <a:extLst>
            <a:ext uri="{FF2B5EF4-FFF2-40B4-BE49-F238E27FC236}">
              <a16:creationId xmlns:a16="http://schemas.microsoft.com/office/drawing/2014/main" id="{F8BEDD95-427F-48B1-94D3-74E1FB2F5B5E}"/>
            </a:ext>
          </a:extLst>
        </xdr:cNvPr>
        <xdr:cNvSpPr/>
      </xdr:nvSpPr>
      <xdr:spPr>
        <a:xfrm>
          <a:off x="7423150" y="1111250"/>
          <a:ext cx="1016000" cy="7683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12701</xdr:colOff>
      <xdr:row>2</xdr:row>
      <xdr:rowOff>19051</xdr:rowOff>
    </xdr:from>
    <xdr:to>
      <xdr:col>7</xdr:col>
      <xdr:colOff>1022351</xdr:colOff>
      <xdr:row>2</xdr:row>
      <xdr:rowOff>781051</xdr:rowOff>
    </xdr:to>
    <xdr:sp macro="" textlink="">
      <xdr:nvSpPr>
        <xdr:cNvPr id="5" name="Rectangle 4">
          <a:extLst>
            <a:ext uri="{FF2B5EF4-FFF2-40B4-BE49-F238E27FC236}">
              <a16:creationId xmlns:a16="http://schemas.microsoft.com/office/drawing/2014/main" id="{DA4FBCCA-E09D-4B5C-BE60-95D7A2229503}"/>
            </a:ext>
          </a:extLst>
        </xdr:cNvPr>
        <xdr:cNvSpPr/>
      </xdr:nvSpPr>
      <xdr:spPr>
        <a:xfrm>
          <a:off x="7423151" y="1111251"/>
          <a:ext cx="1009650" cy="762000"/>
        </a:xfrm>
        <a:prstGeom prst="rect">
          <a:avLst/>
        </a:prstGeom>
        <a:blipFill dpi="0" rotWithShape="1">
          <a:blip xmlns:r="http://schemas.openxmlformats.org/officeDocument/2006/relationships" r:embed="rId2"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12700</xdr:colOff>
      <xdr:row>3</xdr:row>
      <xdr:rowOff>38100</xdr:rowOff>
    </xdr:from>
    <xdr:to>
      <xdr:col>7</xdr:col>
      <xdr:colOff>1041400</xdr:colOff>
      <xdr:row>3</xdr:row>
      <xdr:rowOff>781050</xdr:rowOff>
    </xdr:to>
    <xdr:sp macro="" textlink="">
      <xdr:nvSpPr>
        <xdr:cNvPr id="6" name="Rectangle 5">
          <a:extLst>
            <a:ext uri="{FF2B5EF4-FFF2-40B4-BE49-F238E27FC236}">
              <a16:creationId xmlns:a16="http://schemas.microsoft.com/office/drawing/2014/main" id="{1478C957-F8CE-439F-B6E3-1645AB131DA6}"/>
            </a:ext>
          </a:extLst>
        </xdr:cNvPr>
        <xdr:cNvSpPr/>
      </xdr:nvSpPr>
      <xdr:spPr>
        <a:xfrm>
          <a:off x="7423150" y="1930400"/>
          <a:ext cx="1028700" cy="7429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12701</xdr:colOff>
      <xdr:row>3</xdr:row>
      <xdr:rowOff>38100</xdr:rowOff>
    </xdr:from>
    <xdr:to>
      <xdr:col>7</xdr:col>
      <xdr:colOff>1041401</xdr:colOff>
      <xdr:row>3</xdr:row>
      <xdr:rowOff>781050</xdr:rowOff>
    </xdr:to>
    <xdr:sp macro="" textlink="">
      <xdr:nvSpPr>
        <xdr:cNvPr id="8" name="Rectangle 7">
          <a:extLst>
            <a:ext uri="{FF2B5EF4-FFF2-40B4-BE49-F238E27FC236}">
              <a16:creationId xmlns:a16="http://schemas.microsoft.com/office/drawing/2014/main" id="{1655D41D-D3DC-472B-A7A6-77058EEB1734}"/>
            </a:ext>
          </a:extLst>
        </xdr:cNvPr>
        <xdr:cNvSpPr/>
      </xdr:nvSpPr>
      <xdr:spPr>
        <a:xfrm>
          <a:off x="7423151" y="1930400"/>
          <a:ext cx="1028700" cy="742950"/>
        </a:xfrm>
        <a:prstGeom prst="rect">
          <a:avLst/>
        </a:prstGeom>
        <a:blipFill dpi="0" rotWithShape="1">
          <a:blip xmlns:r="http://schemas.openxmlformats.org/officeDocument/2006/relationships" r:embed="rId3"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4</xdr:row>
      <xdr:rowOff>1</xdr:rowOff>
    </xdr:from>
    <xdr:to>
      <xdr:col>8</xdr:col>
      <xdr:colOff>0</xdr:colOff>
      <xdr:row>5</xdr:row>
      <xdr:rowOff>12701</xdr:rowOff>
    </xdr:to>
    <xdr:sp macro="" textlink="">
      <xdr:nvSpPr>
        <xdr:cNvPr id="9" name="Rectangle 8">
          <a:extLst>
            <a:ext uri="{FF2B5EF4-FFF2-40B4-BE49-F238E27FC236}">
              <a16:creationId xmlns:a16="http://schemas.microsoft.com/office/drawing/2014/main" id="{8C3FA4FF-B58D-499D-A5BF-9635D331F631}"/>
            </a:ext>
          </a:extLst>
        </xdr:cNvPr>
        <xdr:cNvSpPr/>
      </xdr:nvSpPr>
      <xdr:spPr>
        <a:xfrm>
          <a:off x="7410450" y="2692401"/>
          <a:ext cx="1047750" cy="812800"/>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xdr:colOff>
      <xdr:row>5</xdr:row>
      <xdr:rowOff>1</xdr:rowOff>
    </xdr:from>
    <xdr:to>
      <xdr:col>8</xdr:col>
      <xdr:colOff>6351</xdr:colOff>
      <xdr:row>5</xdr:row>
      <xdr:rowOff>793751</xdr:rowOff>
    </xdr:to>
    <xdr:sp macro="" textlink="">
      <xdr:nvSpPr>
        <xdr:cNvPr id="10" name="Rectangle 9">
          <a:extLst>
            <a:ext uri="{FF2B5EF4-FFF2-40B4-BE49-F238E27FC236}">
              <a16:creationId xmlns:a16="http://schemas.microsoft.com/office/drawing/2014/main" id="{050A8803-97A7-435D-B326-60730E63092D}"/>
            </a:ext>
          </a:extLst>
        </xdr:cNvPr>
        <xdr:cNvSpPr/>
      </xdr:nvSpPr>
      <xdr:spPr>
        <a:xfrm>
          <a:off x="7410451" y="3492501"/>
          <a:ext cx="1054100" cy="793750"/>
        </a:xfrm>
        <a:prstGeom prst="rect">
          <a:avLst/>
        </a:prstGeom>
        <a:blipFill dpi="0" rotWithShape="1">
          <a:blip xmlns:r="http://schemas.openxmlformats.org/officeDocument/2006/relationships" r:embed="rId5"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xdr:colOff>
      <xdr:row>6</xdr:row>
      <xdr:rowOff>1</xdr:rowOff>
    </xdr:from>
    <xdr:to>
      <xdr:col>7</xdr:col>
      <xdr:colOff>1041401</xdr:colOff>
      <xdr:row>7</xdr:row>
      <xdr:rowOff>1</xdr:rowOff>
    </xdr:to>
    <xdr:sp macro="" textlink="">
      <xdr:nvSpPr>
        <xdr:cNvPr id="11" name="Rectangle 10">
          <a:extLst>
            <a:ext uri="{FF2B5EF4-FFF2-40B4-BE49-F238E27FC236}">
              <a16:creationId xmlns:a16="http://schemas.microsoft.com/office/drawing/2014/main" id="{83C1FD50-F45D-4A31-876A-B3ECD41D0A78}"/>
            </a:ext>
          </a:extLst>
        </xdr:cNvPr>
        <xdr:cNvSpPr/>
      </xdr:nvSpPr>
      <xdr:spPr>
        <a:xfrm>
          <a:off x="7410451" y="4292601"/>
          <a:ext cx="1041400" cy="800100"/>
        </a:xfrm>
        <a:prstGeom prst="rect">
          <a:avLst/>
        </a:prstGeom>
        <a:blipFill dpi="0" rotWithShape="1">
          <a:blip xmlns:r="http://schemas.openxmlformats.org/officeDocument/2006/relationships" r:embed="rId6"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xdr:colOff>
      <xdr:row>7</xdr:row>
      <xdr:rowOff>1</xdr:rowOff>
    </xdr:from>
    <xdr:to>
      <xdr:col>7</xdr:col>
      <xdr:colOff>1035051</xdr:colOff>
      <xdr:row>7</xdr:row>
      <xdr:rowOff>793751</xdr:rowOff>
    </xdr:to>
    <xdr:sp macro="" textlink="">
      <xdr:nvSpPr>
        <xdr:cNvPr id="12" name="Rectangle 11">
          <a:extLst>
            <a:ext uri="{FF2B5EF4-FFF2-40B4-BE49-F238E27FC236}">
              <a16:creationId xmlns:a16="http://schemas.microsoft.com/office/drawing/2014/main" id="{CE0AC48A-CB09-45CF-A688-AFD59238CA70}"/>
            </a:ext>
          </a:extLst>
        </xdr:cNvPr>
        <xdr:cNvSpPr/>
      </xdr:nvSpPr>
      <xdr:spPr>
        <a:xfrm>
          <a:off x="7410451" y="5092701"/>
          <a:ext cx="1035050" cy="793750"/>
        </a:xfrm>
        <a:prstGeom prst="rect">
          <a:avLst/>
        </a:prstGeom>
        <a:blipFill dpi="0" rotWithShape="1">
          <a:blip xmlns:r="http://schemas.openxmlformats.org/officeDocument/2006/relationships" r:embed="rId7"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0</xdr:colOff>
      <xdr:row>8</xdr:row>
      <xdr:rowOff>1</xdr:rowOff>
    </xdr:from>
    <xdr:to>
      <xdr:col>7</xdr:col>
      <xdr:colOff>1035050</xdr:colOff>
      <xdr:row>8</xdr:row>
      <xdr:rowOff>787401</xdr:rowOff>
    </xdr:to>
    <xdr:sp macro="" textlink="">
      <xdr:nvSpPr>
        <xdr:cNvPr id="13" name="Rectangle 12">
          <a:extLst>
            <a:ext uri="{FF2B5EF4-FFF2-40B4-BE49-F238E27FC236}">
              <a16:creationId xmlns:a16="http://schemas.microsoft.com/office/drawing/2014/main" id="{ECC7EBB0-13BB-4C76-ADEE-5A3368172E4A}"/>
            </a:ext>
          </a:extLst>
        </xdr:cNvPr>
        <xdr:cNvSpPr/>
      </xdr:nvSpPr>
      <xdr:spPr>
        <a:xfrm>
          <a:off x="7410450" y="5892801"/>
          <a:ext cx="1035050" cy="787400"/>
        </a:xfrm>
        <a:prstGeom prst="rect">
          <a:avLst/>
        </a:prstGeom>
        <a:blipFill dpi="0" rotWithShape="1">
          <a:blip xmlns:r="http://schemas.openxmlformats.org/officeDocument/2006/relationships" r:embed="rId8"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xdr:colOff>
      <xdr:row>9</xdr:row>
      <xdr:rowOff>0</xdr:rowOff>
    </xdr:from>
    <xdr:to>
      <xdr:col>7</xdr:col>
      <xdr:colOff>1028700</xdr:colOff>
      <xdr:row>9</xdr:row>
      <xdr:rowOff>787400</xdr:rowOff>
    </xdr:to>
    <xdr:sp macro="" textlink="">
      <xdr:nvSpPr>
        <xdr:cNvPr id="14" name="Rectangle 13">
          <a:extLst>
            <a:ext uri="{FF2B5EF4-FFF2-40B4-BE49-F238E27FC236}">
              <a16:creationId xmlns:a16="http://schemas.microsoft.com/office/drawing/2014/main" id="{5259E2CC-711D-4BE8-94D1-2C67BB5070D5}"/>
            </a:ext>
          </a:extLst>
        </xdr:cNvPr>
        <xdr:cNvSpPr/>
      </xdr:nvSpPr>
      <xdr:spPr>
        <a:xfrm>
          <a:off x="7410451" y="6692900"/>
          <a:ext cx="1028699" cy="787400"/>
        </a:xfrm>
        <a:prstGeom prst="rect">
          <a:avLst/>
        </a:prstGeom>
        <a:blipFill dpi="0" rotWithShape="1">
          <a:blip xmlns:r="http://schemas.openxmlformats.org/officeDocument/2006/relationships" r:embed="rId9" cstate="print">
            <a:extLst>
              <a:ext uri="{28A0092B-C50C-407E-A947-70E740481C1C}">
                <a14:useLocalDpi xmlns:a14="http://schemas.microsoft.com/office/drawing/2010/main" val="0"/>
              </a:ext>
            </a:extLst>
          </a:blip>
          <a:srcRect/>
          <a:stretch>
            <a:fillRect/>
          </a:stretch>
        </a:blip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drive.google.com/file/d/1xJqxo8d-_2HjnPIqxvQyV0ab_Hoo5JNQ/view?usp=sharing" TargetMode="External"/><Relationship Id="rId2" Type="http://schemas.openxmlformats.org/officeDocument/2006/relationships/hyperlink" Target="https://drive.google.com/drive/folders/174nvNzMJkO8diQDLt6Vj-2b7nqqwkNjR?usp=sharing" TargetMode="External"/><Relationship Id="rId1" Type="http://schemas.openxmlformats.org/officeDocument/2006/relationships/hyperlink" Target="https://www.techlandbd.com/" TargetMode="External"/><Relationship Id="rId5" Type="http://schemas.openxmlformats.org/officeDocument/2006/relationships/drawing" Target="../drawings/drawing2.xm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drive.google.com/file/d/1xJqxo8d-_2HjnPIqxvQyV0ab_Hoo5JNQ/view?usp=sharing" TargetMode="External"/><Relationship Id="rId1" Type="http://schemas.openxmlformats.org/officeDocument/2006/relationships/hyperlink" Target="https://drive.google.com/drive/folders/174nvNzMJkO8diQDLt6Vj-2b7nqqwkNjR?usp=sharing" TargetMode="External"/><Relationship Id="rId4"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U1:X999"/>
  <sheetViews>
    <sheetView zoomScale="34" zoomScaleNormal="40" workbookViewId="0"/>
  </sheetViews>
  <sheetFormatPr defaultColWidth="14.3984375" defaultRowHeight="15" customHeight="1"/>
  <cols>
    <col min="1" max="30" width="8.59765625" customWidth="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spans="23:23" ht="12.75" customHeight="1"/>
    <row r="18" spans="23:23" ht="12.75" customHeight="1"/>
    <row r="19" spans="23:23" ht="12.75" customHeight="1"/>
    <row r="20" spans="23:23" ht="12.75" customHeight="1"/>
    <row r="21" spans="23:23" ht="12.75" customHeight="1"/>
    <row r="22" spans="23:23" ht="12.75" customHeight="1"/>
    <row r="23" spans="23:23" ht="12.75" customHeight="1"/>
    <row r="24" spans="23:23" ht="12.75" customHeight="1"/>
    <row r="25" spans="23:23" ht="12.75" customHeight="1"/>
    <row r="26" spans="23:23" ht="12.75" customHeight="1"/>
    <row r="27" spans="23:23" ht="12.75" customHeight="1"/>
    <row r="28" spans="23:23" ht="12.75" customHeight="1"/>
    <row r="29" spans="23:23" ht="12.75" customHeight="1"/>
    <row r="30" spans="23:23" ht="12.75" customHeight="1">
      <c r="W30" s="1"/>
    </row>
    <row r="31" spans="23:23" ht="12.75" customHeight="1"/>
    <row r="32" spans="23:23" ht="12.75" customHeight="1"/>
    <row r="33" spans="21:24" ht="12.75" customHeight="1"/>
    <row r="34" spans="21:24" ht="12.75" customHeight="1">
      <c r="X34" s="2"/>
    </row>
    <row r="35" spans="21:24" ht="12.75" customHeight="1"/>
    <row r="36" spans="21:24" ht="12.75" customHeight="1">
      <c r="U36" s="3"/>
    </row>
    <row r="37" spans="21:24" ht="12.75" customHeight="1"/>
    <row r="38" spans="21:24" ht="12.75" customHeight="1">
      <c r="U38" s="4"/>
    </row>
    <row r="39" spans="21:24" ht="12.75" customHeight="1"/>
    <row r="40" spans="21:24" ht="12.75" customHeight="1"/>
    <row r="41" spans="21:24" ht="12.75" customHeight="1"/>
    <row r="42" spans="21:24" ht="12.75" customHeight="1"/>
    <row r="43" spans="21:24" ht="12.75" customHeight="1"/>
    <row r="44" spans="21:24" ht="12.75" customHeight="1"/>
    <row r="45" spans="21:24" ht="12.75" customHeight="1"/>
    <row r="46" spans="21:24" ht="12.75" customHeight="1"/>
    <row r="47" spans="21:24" ht="12.75" customHeight="1"/>
    <row r="48" spans="21:24"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sheetData>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745"/>
  <sheetViews>
    <sheetView tabSelected="1" topLeftCell="H1" zoomScale="56" zoomScaleNormal="56" workbookViewId="0">
      <pane ySplit="7" topLeftCell="A11" activePane="bottomLeft" state="frozen"/>
      <selection pane="bottomLeft" activeCell="F10" sqref="F10"/>
    </sheetView>
  </sheetViews>
  <sheetFormatPr defaultColWidth="14.3984375" defaultRowHeight="15" customHeight="1"/>
  <cols>
    <col min="1" max="1" width="4.3984375" customWidth="1"/>
    <col min="2" max="2" width="16.796875" customWidth="1"/>
    <col min="3" max="3" width="15.3984375" customWidth="1"/>
    <col min="4" max="4" width="30.59765625" customWidth="1"/>
    <col min="5" max="5" width="29.59765625" customWidth="1"/>
    <col min="6" max="6" width="28.09765625" customWidth="1"/>
    <col min="7" max="7" width="22.69921875" customWidth="1"/>
    <col min="8" max="8" width="19" customWidth="1"/>
    <col min="9" max="9" width="28.69921875" customWidth="1"/>
    <col min="10" max="10" width="23.796875" customWidth="1"/>
    <col min="11" max="11" width="21.296875" customWidth="1"/>
    <col min="12" max="12" width="19.19921875" customWidth="1"/>
    <col min="13" max="13" width="18.3984375" customWidth="1"/>
    <col min="16" max="16" width="23.19921875" customWidth="1"/>
  </cols>
  <sheetData>
    <row r="1" spans="1:16" ht="29.25" customHeight="1" thickBot="1">
      <c r="A1" s="231" t="s">
        <v>2</v>
      </c>
      <c r="B1" s="227"/>
      <c r="C1" s="80" t="s">
        <v>87</v>
      </c>
      <c r="D1" s="154" t="s">
        <v>3</v>
      </c>
      <c r="E1" s="5" t="s">
        <v>392</v>
      </c>
      <c r="F1" s="154" t="s">
        <v>4</v>
      </c>
      <c r="G1" s="5" t="s">
        <v>390</v>
      </c>
      <c r="H1" s="6"/>
      <c r="I1" s="7"/>
      <c r="J1" s="8"/>
      <c r="K1" s="9"/>
      <c r="L1" s="232" t="s">
        <v>5</v>
      </c>
      <c r="M1" s="233"/>
      <c r="O1" s="222" t="s">
        <v>383</v>
      </c>
      <c r="P1" s="223"/>
    </row>
    <row r="2" spans="1:16" ht="32.25" customHeight="1" thickBot="1">
      <c r="A2" s="231" t="s">
        <v>6</v>
      </c>
      <c r="B2" s="227"/>
      <c r="C2" s="10"/>
      <c r="D2" s="155" t="s">
        <v>7</v>
      </c>
      <c r="E2" s="11" t="s">
        <v>391</v>
      </c>
      <c r="F2" s="155" t="s">
        <v>8</v>
      </c>
      <c r="G2" s="12" t="s">
        <v>393</v>
      </c>
      <c r="H2" s="6"/>
      <c r="I2" s="7"/>
      <c r="J2" s="8"/>
      <c r="K2" s="9"/>
      <c r="L2" s="13" t="s">
        <v>9</v>
      </c>
      <c r="M2" s="159">
        <f>COUNTIF(L8:L74, "Passed")</f>
        <v>49</v>
      </c>
      <c r="O2" s="224"/>
      <c r="P2" s="225"/>
    </row>
    <row r="3" spans="1:16" ht="33" customHeight="1" thickBot="1">
      <c r="A3" s="231" t="s">
        <v>10</v>
      </c>
      <c r="B3" s="227"/>
      <c r="C3" s="11"/>
      <c r="D3" s="155" t="s">
        <v>11</v>
      </c>
      <c r="E3" s="11" t="s">
        <v>88</v>
      </c>
      <c r="F3" s="155" t="s">
        <v>12</v>
      </c>
      <c r="G3" s="11" t="s">
        <v>13</v>
      </c>
      <c r="H3" s="6"/>
      <c r="I3" s="7"/>
      <c r="J3" s="8"/>
      <c r="K3" s="9"/>
      <c r="L3" s="14" t="s">
        <v>14</v>
      </c>
      <c r="M3" s="159">
        <f>COUNTIF(L8:L244, "Failed")</f>
        <v>13</v>
      </c>
      <c r="O3" s="162" t="s">
        <v>49</v>
      </c>
      <c r="P3" s="162" t="s">
        <v>384</v>
      </c>
    </row>
    <row r="4" spans="1:16" ht="34.5" customHeight="1" thickBot="1">
      <c r="A4" s="231" t="s">
        <v>15</v>
      </c>
      <c r="B4" s="227"/>
      <c r="C4" s="11"/>
      <c r="D4" s="155" t="s">
        <v>16</v>
      </c>
      <c r="E4" s="11"/>
      <c r="F4" s="155" t="s">
        <v>17</v>
      </c>
      <c r="G4" s="11"/>
      <c r="H4" s="6"/>
      <c r="I4" s="7"/>
      <c r="J4" s="8"/>
      <c r="K4" s="9"/>
      <c r="L4" s="15" t="s">
        <v>198</v>
      </c>
      <c r="M4" s="159">
        <f>COUNTIF(L7:L244, "Warning")</f>
        <v>1</v>
      </c>
      <c r="O4" s="162" t="s">
        <v>0</v>
      </c>
      <c r="P4" s="162" t="s">
        <v>321</v>
      </c>
    </row>
    <row r="5" spans="1:16" ht="31" customHeight="1" thickBot="1">
      <c r="A5" s="226" t="s">
        <v>18</v>
      </c>
      <c r="B5" s="227"/>
      <c r="C5" s="228" t="s">
        <v>394</v>
      </c>
      <c r="D5" s="229"/>
      <c r="E5" s="229"/>
      <c r="F5" s="229"/>
      <c r="G5" s="230"/>
      <c r="H5" s="100"/>
      <c r="I5" s="101"/>
      <c r="J5" s="102"/>
      <c r="K5" s="103"/>
      <c r="L5" s="158" t="s">
        <v>19</v>
      </c>
      <c r="M5" s="160">
        <f>COUNTIF(L7:L244, "Out of Scope")</f>
        <v>0</v>
      </c>
      <c r="O5" s="162" t="s">
        <v>1</v>
      </c>
      <c r="P5" s="162" t="s">
        <v>322</v>
      </c>
    </row>
    <row r="6" spans="1:16" ht="33" customHeight="1">
      <c r="A6" s="16"/>
      <c r="B6" s="17"/>
      <c r="C6" s="18"/>
      <c r="D6" s="19"/>
      <c r="E6" s="20"/>
      <c r="F6" s="16"/>
      <c r="G6" s="16"/>
      <c r="H6" s="6"/>
      <c r="I6" s="7"/>
      <c r="J6" s="8"/>
      <c r="K6" s="9"/>
      <c r="L6" s="21" t="s">
        <v>20</v>
      </c>
      <c r="M6" s="161">
        <f>SUM(M2:M5)</f>
        <v>63</v>
      </c>
      <c r="O6" s="162" t="s">
        <v>381</v>
      </c>
      <c r="P6" s="162" t="s">
        <v>320</v>
      </c>
    </row>
    <row r="7" spans="1:16" s="99" customFormat="1" ht="33" customHeight="1" thickBot="1">
      <c r="A7" s="152" t="s">
        <v>21</v>
      </c>
      <c r="B7" s="152" t="s">
        <v>22</v>
      </c>
      <c r="C7" s="151" t="s">
        <v>23</v>
      </c>
      <c r="D7" s="152" t="s">
        <v>24</v>
      </c>
      <c r="E7" s="151" t="s">
        <v>25</v>
      </c>
      <c r="F7" s="151" t="s">
        <v>26</v>
      </c>
      <c r="G7" s="151" t="s">
        <v>27</v>
      </c>
      <c r="H7" s="151" t="s">
        <v>28</v>
      </c>
      <c r="I7" s="151" t="s">
        <v>29</v>
      </c>
      <c r="J7" s="153" t="s">
        <v>30</v>
      </c>
      <c r="K7" s="151" t="s">
        <v>385</v>
      </c>
      <c r="L7" s="152" t="s">
        <v>31</v>
      </c>
      <c r="M7" s="152" t="s">
        <v>32</v>
      </c>
    </row>
    <row r="8" spans="1:16" ht="104.5" customHeight="1" thickBot="1">
      <c r="A8" s="22">
        <v>1</v>
      </c>
      <c r="B8" s="22" t="s">
        <v>89</v>
      </c>
      <c r="C8" s="117" t="s">
        <v>34</v>
      </c>
      <c r="D8" s="84" t="s">
        <v>33</v>
      </c>
      <c r="E8" s="96" t="s">
        <v>92</v>
      </c>
      <c r="F8" s="85" t="s">
        <v>35</v>
      </c>
      <c r="G8" s="85" t="s">
        <v>36</v>
      </c>
      <c r="H8" s="85" t="s">
        <v>90</v>
      </c>
      <c r="I8" s="85" t="s">
        <v>91</v>
      </c>
      <c r="J8" s="86"/>
      <c r="K8" s="84"/>
      <c r="L8" s="87" t="s">
        <v>37</v>
      </c>
      <c r="M8" s="26"/>
    </row>
    <row r="9" spans="1:16" ht="32.5" customHeight="1" thickBot="1">
      <c r="A9" s="193"/>
      <c r="B9" s="194"/>
      <c r="C9" s="195"/>
      <c r="D9" s="196"/>
      <c r="E9" s="197"/>
      <c r="F9" s="198"/>
      <c r="G9" s="198"/>
      <c r="H9" s="198"/>
      <c r="I9" s="198"/>
      <c r="J9" s="199"/>
      <c r="K9" s="200"/>
      <c r="L9" s="192"/>
      <c r="M9" s="201"/>
    </row>
    <row r="10" spans="1:16" ht="180" customHeight="1" thickBot="1">
      <c r="A10" s="22">
        <v>2</v>
      </c>
      <c r="B10" s="32"/>
      <c r="C10" s="166" t="s">
        <v>72</v>
      </c>
      <c r="D10" s="187" t="s">
        <v>93</v>
      </c>
      <c r="E10" s="96" t="s">
        <v>149</v>
      </c>
      <c r="F10" s="85" t="s">
        <v>151</v>
      </c>
      <c r="G10" s="85" t="s">
        <v>150</v>
      </c>
      <c r="H10" s="85" t="s">
        <v>38</v>
      </c>
      <c r="I10" s="85" t="s">
        <v>153</v>
      </c>
      <c r="J10" s="92"/>
      <c r="K10" s="156"/>
      <c r="L10" s="90" t="s">
        <v>37</v>
      </c>
      <c r="M10" s="29"/>
    </row>
    <row r="11" spans="1:16" ht="136" customHeight="1" thickBot="1">
      <c r="A11" s="22">
        <v>3</v>
      </c>
      <c r="B11" s="32"/>
      <c r="C11" s="184"/>
      <c r="D11" s="188"/>
      <c r="E11" s="96" t="s">
        <v>133</v>
      </c>
      <c r="F11" s="85" t="s">
        <v>117</v>
      </c>
      <c r="G11" s="85" t="s">
        <v>118</v>
      </c>
      <c r="H11" s="85" t="s">
        <v>119</v>
      </c>
      <c r="I11" s="85" t="s">
        <v>120</v>
      </c>
      <c r="J11" s="92"/>
      <c r="K11" s="163" t="s">
        <v>0</v>
      </c>
      <c r="L11" s="90" t="s">
        <v>48</v>
      </c>
      <c r="M11" s="29"/>
    </row>
    <row r="12" spans="1:16" ht="127.5" customHeight="1" thickBot="1">
      <c r="A12" s="22">
        <v>4</v>
      </c>
      <c r="B12" s="32"/>
      <c r="C12" s="184"/>
      <c r="D12" s="188"/>
      <c r="E12" s="96" t="s">
        <v>131</v>
      </c>
      <c r="F12" s="85" t="s">
        <v>135</v>
      </c>
      <c r="G12" s="85" t="s">
        <v>132</v>
      </c>
      <c r="H12" s="85" t="s">
        <v>128</v>
      </c>
      <c r="I12" s="85" t="s">
        <v>129</v>
      </c>
      <c r="J12" s="92"/>
      <c r="K12" s="163" t="s">
        <v>381</v>
      </c>
      <c r="L12" s="90" t="s">
        <v>48</v>
      </c>
      <c r="M12" s="29"/>
    </row>
    <row r="13" spans="1:16" ht="127.5" customHeight="1" thickBot="1">
      <c r="A13" s="22">
        <v>5</v>
      </c>
      <c r="B13" s="32"/>
      <c r="C13" s="184"/>
      <c r="D13" s="188"/>
      <c r="E13" s="96" t="s">
        <v>131</v>
      </c>
      <c r="F13" s="85" t="s">
        <v>135</v>
      </c>
      <c r="G13" s="85" t="s">
        <v>132</v>
      </c>
      <c r="H13" s="85" t="s">
        <v>128</v>
      </c>
      <c r="I13" s="85" t="s">
        <v>129</v>
      </c>
      <c r="J13" s="92"/>
      <c r="K13" s="163" t="s">
        <v>381</v>
      </c>
      <c r="L13" s="90" t="s">
        <v>48</v>
      </c>
      <c r="M13" s="29"/>
    </row>
    <row r="14" spans="1:16" ht="127.5" customHeight="1" thickBot="1">
      <c r="A14" s="22">
        <v>6</v>
      </c>
      <c r="B14" s="32"/>
      <c r="C14" s="184"/>
      <c r="D14" s="188"/>
      <c r="E14" s="96" t="s">
        <v>155</v>
      </c>
      <c r="F14" s="85" t="s">
        <v>156</v>
      </c>
      <c r="G14" s="85" t="s">
        <v>157</v>
      </c>
      <c r="H14" s="85" t="s">
        <v>161</v>
      </c>
      <c r="I14" s="85" t="s">
        <v>162</v>
      </c>
      <c r="J14" s="92"/>
      <c r="K14" s="163" t="s">
        <v>1</v>
      </c>
      <c r="L14" s="90" t="s">
        <v>48</v>
      </c>
      <c r="M14" s="29"/>
    </row>
    <row r="15" spans="1:16" ht="127.5" customHeight="1" thickBot="1">
      <c r="A15" s="22">
        <v>7</v>
      </c>
      <c r="B15" s="32"/>
      <c r="C15" s="184"/>
      <c r="D15" s="188"/>
      <c r="E15" s="96" t="s">
        <v>134</v>
      </c>
      <c r="F15" s="85" t="s">
        <v>136</v>
      </c>
      <c r="G15" s="85" t="s">
        <v>137</v>
      </c>
      <c r="H15" s="85" t="s">
        <v>138</v>
      </c>
      <c r="I15" s="85" t="s">
        <v>139</v>
      </c>
      <c r="J15" s="92"/>
      <c r="K15" s="163" t="s">
        <v>0</v>
      </c>
      <c r="L15" s="90" t="s">
        <v>48</v>
      </c>
      <c r="M15" s="29"/>
    </row>
    <row r="16" spans="1:16" ht="127.5" customHeight="1" thickBot="1">
      <c r="A16" s="22">
        <v>8</v>
      </c>
      <c r="B16" s="32"/>
      <c r="C16" s="184"/>
      <c r="D16" s="188"/>
      <c r="E16" s="96" t="s">
        <v>164</v>
      </c>
      <c r="F16" s="85" t="s">
        <v>165</v>
      </c>
      <c r="G16" s="85" t="s">
        <v>166</v>
      </c>
      <c r="H16" s="85" t="s">
        <v>161</v>
      </c>
      <c r="I16" s="85" t="s">
        <v>163</v>
      </c>
      <c r="J16" s="92"/>
      <c r="K16" s="163" t="s">
        <v>0</v>
      </c>
      <c r="L16" s="90" t="s">
        <v>48</v>
      </c>
      <c r="M16" s="29"/>
    </row>
    <row r="17" spans="1:13" ht="145.5" customHeight="1" thickBot="1">
      <c r="A17" s="22">
        <v>9</v>
      </c>
      <c r="B17" s="32"/>
      <c r="C17" s="184"/>
      <c r="D17" s="188"/>
      <c r="E17" s="96" t="s">
        <v>141</v>
      </c>
      <c r="F17" s="85" t="s">
        <v>142</v>
      </c>
      <c r="G17" s="85" t="s">
        <v>140</v>
      </c>
      <c r="H17" s="85" t="s">
        <v>138</v>
      </c>
      <c r="I17" s="85" t="s">
        <v>143</v>
      </c>
      <c r="J17" s="92"/>
      <c r="K17" s="156"/>
      <c r="L17" s="90" t="s">
        <v>37</v>
      </c>
      <c r="M17" s="29"/>
    </row>
    <row r="18" spans="1:13" ht="145.5" customHeight="1" thickBot="1">
      <c r="A18" s="22">
        <v>10</v>
      </c>
      <c r="B18" s="32"/>
      <c r="C18" s="184"/>
      <c r="D18" s="188"/>
      <c r="E18" s="96" t="s">
        <v>147</v>
      </c>
      <c r="F18" s="85" t="s">
        <v>144</v>
      </c>
      <c r="G18" s="85" t="s">
        <v>144</v>
      </c>
      <c r="H18" s="85" t="s">
        <v>145</v>
      </c>
      <c r="I18" s="85" t="s">
        <v>146</v>
      </c>
      <c r="J18" s="92"/>
      <c r="K18" s="163" t="s">
        <v>1</v>
      </c>
      <c r="L18" s="90" t="s">
        <v>48</v>
      </c>
      <c r="M18" s="29"/>
    </row>
    <row r="19" spans="1:13" ht="127.5" customHeight="1" thickBot="1">
      <c r="A19" s="22">
        <v>11</v>
      </c>
      <c r="B19" s="32"/>
      <c r="C19" s="184"/>
      <c r="D19" s="188"/>
      <c r="E19" s="96" t="s">
        <v>167</v>
      </c>
      <c r="F19" s="85" t="s">
        <v>169</v>
      </c>
      <c r="G19" s="85" t="s">
        <v>168</v>
      </c>
      <c r="H19" s="85" t="s">
        <v>170</v>
      </c>
      <c r="I19" s="85" t="s">
        <v>178</v>
      </c>
      <c r="J19" s="92"/>
      <c r="K19" s="156"/>
      <c r="L19" s="90" t="s">
        <v>37</v>
      </c>
      <c r="M19" s="29"/>
    </row>
    <row r="20" spans="1:13" ht="127.5" customHeight="1" thickBot="1">
      <c r="A20" s="22">
        <v>12</v>
      </c>
      <c r="B20" s="32"/>
      <c r="C20" s="184"/>
      <c r="D20" s="188"/>
      <c r="E20" s="96" t="s">
        <v>179</v>
      </c>
      <c r="F20" s="85" t="s">
        <v>180</v>
      </c>
      <c r="G20" s="85" t="s">
        <v>181</v>
      </c>
      <c r="H20" s="85" t="s">
        <v>182</v>
      </c>
      <c r="I20" s="85" t="s">
        <v>183</v>
      </c>
      <c r="J20" s="92"/>
      <c r="K20" s="156"/>
      <c r="L20" s="90" t="s">
        <v>37</v>
      </c>
      <c r="M20" s="29"/>
    </row>
    <row r="21" spans="1:13" ht="127.5" customHeight="1" thickBot="1">
      <c r="A21" s="22">
        <v>13</v>
      </c>
      <c r="B21" s="32"/>
      <c r="C21" s="184"/>
      <c r="D21" s="169"/>
      <c r="E21" s="96" t="s">
        <v>184</v>
      </c>
      <c r="F21" s="85" t="s">
        <v>185</v>
      </c>
      <c r="G21" s="85" t="s">
        <v>186</v>
      </c>
      <c r="H21" s="85" t="s">
        <v>187</v>
      </c>
      <c r="I21" s="85" t="s">
        <v>188</v>
      </c>
      <c r="J21" s="92"/>
      <c r="K21" s="156"/>
      <c r="L21" s="90" t="s">
        <v>37</v>
      </c>
      <c r="M21" s="29"/>
    </row>
    <row r="22" spans="1:13" ht="127.5" customHeight="1" thickBot="1">
      <c r="A22" s="22">
        <v>14</v>
      </c>
      <c r="B22" s="32"/>
      <c r="C22" s="184"/>
      <c r="D22" s="187" t="s">
        <v>189</v>
      </c>
      <c r="E22" s="96" t="s">
        <v>195</v>
      </c>
      <c r="F22" s="85" t="s">
        <v>196</v>
      </c>
      <c r="G22" s="85" t="s">
        <v>197</v>
      </c>
      <c r="H22" s="85" t="s">
        <v>38</v>
      </c>
      <c r="I22" s="85" t="s">
        <v>203</v>
      </c>
      <c r="J22" s="93" t="s">
        <v>199</v>
      </c>
      <c r="K22" s="156"/>
      <c r="L22" s="90" t="s">
        <v>198</v>
      </c>
      <c r="M22" s="29"/>
    </row>
    <row r="23" spans="1:13" ht="126" customHeight="1" thickBot="1">
      <c r="A23" s="22">
        <v>15</v>
      </c>
      <c r="B23" s="32"/>
      <c r="C23" s="184"/>
      <c r="D23" s="188"/>
      <c r="E23" s="96" t="s">
        <v>200</v>
      </c>
      <c r="F23" s="85" t="s">
        <v>201</v>
      </c>
      <c r="G23" s="85" t="s">
        <v>202</v>
      </c>
      <c r="H23" s="85" t="s">
        <v>208</v>
      </c>
      <c r="I23" s="85" t="s">
        <v>204</v>
      </c>
      <c r="J23" s="92"/>
      <c r="K23" s="156"/>
      <c r="L23" s="90" t="s">
        <v>37</v>
      </c>
      <c r="M23" s="29"/>
    </row>
    <row r="24" spans="1:13" ht="126" customHeight="1" thickBot="1">
      <c r="A24" s="22">
        <v>16</v>
      </c>
      <c r="B24" s="32"/>
      <c r="C24" s="184"/>
      <c r="D24" s="188"/>
      <c r="E24" s="96" t="s">
        <v>205</v>
      </c>
      <c r="F24" s="85" t="s">
        <v>206</v>
      </c>
      <c r="G24" s="85" t="s">
        <v>207</v>
      </c>
      <c r="H24" s="85" t="s">
        <v>209</v>
      </c>
      <c r="I24" s="85" t="s">
        <v>210</v>
      </c>
      <c r="J24" s="92"/>
      <c r="K24" s="156"/>
      <c r="L24" s="90" t="s">
        <v>37</v>
      </c>
      <c r="M24" s="29"/>
    </row>
    <row r="25" spans="1:13" ht="126" customHeight="1" thickBot="1">
      <c r="A25" s="22">
        <v>17</v>
      </c>
      <c r="B25" s="32"/>
      <c r="C25" s="184"/>
      <c r="D25" s="188"/>
      <c r="E25" s="96" t="s">
        <v>219</v>
      </c>
      <c r="F25" s="85" t="s">
        <v>220</v>
      </c>
      <c r="G25" s="85" t="s">
        <v>221</v>
      </c>
      <c r="H25" s="85" t="s">
        <v>222</v>
      </c>
      <c r="I25" s="85" t="s">
        <v>223</v>
      </c>
      <c r="J25" s="92"/>
      <c r="K25" s="156"/>
      <c r="L25" s="90" t="s">
        <v>37</v>
      </c>
      <c r="M25" s="29"/>
    </row>
    <row r="26" spans="1:13" ht="126" customHeight="1" thickBot="1">
      <c r="A26" s="22">
        <v>18</v>
      </c>
      <c r="B26" s="32"/>
      <c r="C26" s="184"/>
      <c r="D26" s="188"/>
      <c r="E26" s="96" t="s">
        <v>224</v>
      </c>
      <c r="F26" s="85" t="s">
        <v>225</v>
      </c>
      <c r="G26" s="85" t="s">
        <v>226</v>
      </c>
      <c r="H26" s="85" t="s">
        <v>227</v>
      </c>
      <c r="I26" s="85" t="s">
        <v>223</v>
      </c>
      <c r="J26" s="92"/>
      <c r="K26" s="156"/>
      <c r="L26" s="90" t="s">
        <v>37</v>
      </c>
      <c r="M26" s="29"/>
    </row>
    <row r="27" spans="1:13" ht="120" customHeight="1" thickBot="1">
      <c r="A27" s="22">
        <v>19</v>
      </c>
      <c r="B27" s="32"/>
      <c r="C27" s="184"/>
      <c r="D27" s="188"/>
      <c r="E27" s="96" t="s">
        <v>228</v>
      </c>
      <c r="F27" s="85" t="s">
        <v>225</v>
      </c>
      <c r="G27" s="85" t="s">
        <v>226</v>
      </c>
      <c r="H27" s="85" t="s">
        <v>229</v>
      </c>
      <c r="I27" s="85" t="s">
        <v>223</v>
      </c>
      <c r="J27" s="92"/>
      <c r="K27" s="156"/>
      <c r="L27" s="90" t="s">
        <v>37</v>
      </c>
      <c r="M27" s="29"/>
    </row>
    <row r="28" spans="1:13" ht="120" customHeight="1" thickBot="1">
      <c r="A28" s="22">
        <v>20</v>
      </c>
      <c r="B28" s="32"/>
      <c r="C28" s="184"/>
      <c r="D28" s="188"/>
      <c r="E28" s="96" t="s">
        <v>230</v>
      </c>
      <c r="F28" s="85" t="s">
        <v>225</v>
      </c>
      <c r="G28" s="85" t="s">
        <v>226</v>
      </c>
      <c r="H28" s="85" t="s">
        <v>231</v>
      </c>
      <c r="I28" s="85" t="s">
        <v>223</v>
      </c>
      <c r="J28" s="92"/>
      <c r="K28" s="156"/>
      <c r="L28" s="90" t="s">
        <v>37</v>
      </c>
      <c r="M28" s="29"/>
    </row>
    <row r="29" spans="1:13" ht="119" customHeight="1" thickBot="1">
      <c r="A29" s="22">
        <v>21</v>
      </c>
      <c r="B29" s="32"/>
      <c r="C29" s="184"/>
      <c r="D29" s="188"/>
      <c r="E29" s="96" t="s">
        <v>215</v>
      </c>
      <c r="F29" s="85" t="s">
        <v>211</v>
      </c>
      <c r="G29" s="85" t="s">
        <v>212</v>
      </c>
      <c r="H29" s="85" t="s">
        <v>213</v>
      </c>
      <c r="I29" s="85" t="s">
        <v>214</v>
      </c>
      <c r="J29" s="92" t="s">
        <v>276</v>
      </c>
      <c r="K29" s="163" t="s">
        <v>381</v>
      </c>
      <c r="L29" s="90" t="s">
        <v>48</v>
      </c>
      <c r="M29" s="29"/>
    </row>
    <row r="30" spans="1:13" ht="119" customHeight="1" thickBot="1">
      <c r="A30" s="22">
        <v>22</v>
      </c>
      <c r="B30" s="32"/>
      <c r="C30" s="184"/>
      <c r="D30" s="169"/>
      <c r="E30" s="96" t="s">
        <v>216</v>
      </c>
      <c r="F30" s="85" t="s">
        <v>217</v>
      </c>
      <c r="G30" s="85" t="s">
        <v>218</v>
      </c>
      <c r="H30" s="85" t="s">
        <v>213</v>
      </c>
      <c r="I30" s="85" t="s">
        <v>214</v>
      </c>
      <c r="J30" s="92"/>
      <c r="K30" s="156"/>
      <c r="L30" s="90" t="s">
        <v>37</v>
      </c>
      <c r="M30" s="29"/>
    </row>
    <row r="31" spans="1:13" ht="130" customHeight="1" thickBot="1">
      <c r="A31" s="22">
        <v>23</v>
      </c>
      <c r="B31" s="32"/>
      <c r="C31" s="184"/>
      <c r="D31" s="187" t="s">
        <v>232</v>
      </c>
      <c r="E31" s="96" t="s">
        <v>240</v>
      </c>
      <c r="F31" s="85" t="s">
        <v>241</v>
      </c>
      <c r="G31" s="85" t="s">
        <v>242</v>
      </c>
      <c r="H31" s="85" t="s">
        <v>247</v>
      </c>
      <c r="I31" s="85" t="s">
        <v>243</v>
      </c>
      <c r="J31" s="92"/>
      <c r="K31" s="156"/>
      <c r="L31" s="90" t="s">
        <v>37</v>
      </c>
      <c r="M31" s="29"/>
    </row>
    <row r="32" spans="1:13" ht="136" customHeight="1" thickBot="1">
      <c r="A32" s="22">
        <v>24</v>
      </c>
      <c r="B32" s="32"/>
      <c r="C32" s="184"/>
      <c r="D32" s="188"/>
      <c r="E32" s="96" t="s">
        <v>236</v>
      </c>
      <c r="F32" s="85" t="s">
        <v>237</v>
      </c>
      <c r="G32" s="85" t="s">
        <v>238</v>
      </c>
      <c r="H32" s="85" t="s">
        <v>247</v>
      </c>
      <c r="I32" s="85" t="s">
        <v>248</v>
      </c>
      <c r="J32" s="85"/>
      <c r="K32" s="156"/>
      <c r="L32" s="90" t="s">
        <v>37</v>
      </c>
      <c r="M32" s="29"/>
    </row>
    <row r="33" spans="1:13" ht="130" customHeight="1" thickBot="1">
      <c r="A33" s="22">
        <v>25</v>
      </c>
      <c r="B33" s="32"/>
      <c r="C33" s="184"/>
      <c r="D33" s="188"/>
      <c r="E33" s="96" t="s">
        <v>244</v>
      </c>
      <c r="F33" s="85" t="s">
        <v>245</v>
      </c>
      <c r="G33" s="85" t="s">
        <v>246</v>
      </c>
      <c r="H33" s="85" t="s">
        <v>247</v>
      </c>
      <c r="I33" s="85" t="s">
        <v>249</v>
      </c>
      <c r="J33" s="92"/>
      <c r="K33" s="156"/>
      <c r="L33" s="90" t="s">
        <v>37</v>
      </c>
      <c r="M33" s="29"/>
    </row>
    <row r="34" spans="1:13" ht="94" customHeight="1" thickBot="1">
      <c r="A34" s="22">
        <v>26</v>
      </c>
      <c r="B34" s="27"/>
      <c r="C34" s="184"/>
      <c r="D34" s="188"/>
      <c r="E34" s="96" t="s">
        <v>254</v>
      </c>
      <c r="F34" s="85" t="s">
        <v>255</v>
      </c>
      <c r="G34" s="85" t="s">
        <v>256</v>
      </c>
      <c r="H34" s="85"/>
      <c r="I34" s="85" t="s">
        <v>257</v>
      </c>
      <c r="J34" s="92"/>
      <c r="K34" s="156"/>
      <c r="L34" s="90" t="s">
        <v>37</v>
      </c>
      <c r="M34" s="29"/>
    </row>
    <row r="35" spans="1:13" ht="94" customHeight="1" thickBot="1">
      <c r="A35" s="22">
        <v>27</v>
      </c>
      <c r="B35" s="27"/>
      <c r="C35" s="184"/>
      <c r="D35" s="188"/>
      <c r="E35" s="96" t="s">
        <v>258</v>
      </c>
      <c r="F35" s="85" t="s">
        <v>259</v>
      </c>
      <c r="G35" s="85" t="s">
        <v>260</v>
      </c>
      <c r="H35" s="85"/>
      <c r="I35" s="85" t="s">
        <v>261</v>
      </c>
      <c r="J35" s="92"/>
      <c r="K35" s="156"/>
      <c r="L35" s="90" t="s">
        <v>37</v>
      </c>
      <c r="M35" s="29"/>
    </row>
    <row r="36" spans="1:13" ht="94" customHeight="1" thickBot="1">
      <c r="A36" s="22">
        <v>28</v>
      </c>
      <c r="B36" s="27"/>
      <c r="C36" s="184"/>
      <c r="D36" s="188"/>
      <c r="E36" s="96" t="s">
        <v>262</v>
      </c>
      <c r="F36" s="85" t="s">
        <v>263</v>
      </c>
      <c r="G36" s="85" t="s">
        <v>264</v>
      </c>
      <c r="H36" s="85" t="s">
        <v>265</v>
      </c>
      <c r="I36" s="85" t="s">
        <v>266</v>
      </c>
      <c r="J36" s="92"/>
      <c r="K36" s="156"/>
      <c r="L36" s="90" t="s">
        <v>37</v>
      </c>
      <c r="M36" s="29"/>
    </row>
    <row r="37" spans="1:13" ht="94" customHeight="1" thickBot="1">
      <c r="A37" s="22">
        <v>29</v>
      </c>
      <c r="B37" s="27"/>
      <c r="C37" s="184"/>
      <c r="D37" s="169"/>
      <c r="E37" s="96" t="s">
        <v>267</v>
      </c>
      <c r="F37" s="85" t="s">
        <v>268</v>
      </c>
      <c r="G37" s="85" t="s">
        <v>269</v>
      </c>
      <c r="H37" s="85" t="s">
        <v>270</v>
      </c>
      <c r="I37" s="85" t="s">
        <v>271</v>
      </c>
      <c r="J37" s="92"/>
      <c r="K37" s="156"/>
      <c r="L37" s="90" t="s">
        <v>37</v>
      </c>
      <c r="M37" s="29"/>
    </row>
    <row r="38" spans="1:13" ht="68" customHeight="1" thickBot="1">
      <c r="A38" s="22">
        <v>30</v>
      </c>
      <c r="B38" s="27"/>
      <c r="C38" s="184"/>
      <c r="D38" s="189" t="s">
        <v>323</v>
      </c>
      <c r="E38" s="82" t="s">
        <v>324</v>
      </c>
      <c r="F38" s="23" t="s">
        <v>325</v>
      </c>
      <c r="G38" s="23" t="s">
        <v>326</v>
      </c>
      <c r="H38" s="24"/>
      <c r="I38" s="25" t="s">
        <v>327</v>
      </c>
      <c r="J38" s="23"/>
      <c r="K38" s="157"/>
      <c r="L38" s="81" t="s">
        <v>37</v>
      </c>
      <c r="M38" s="29"/>
    </row>
    <row r="39" spans="1:13" ht="85.5" customHeight="1" thickBot="1">
      <c r="A39" s="22">
        <v>31</v>
      </c>
      <c r="B39" s="32"/>
      <c r="C39" s="184"/>
      <c r="D39" s="190"/>
      <c r="E39" s="82" t="s">
        <v>328</v>
      </c>
      <c r="F39" s="23" t="s">
        <v>331</v>
      </c>
      <c r="G39" s="23" t="s">
        <v>332</v>
      </c>
      <c r="H39" s="24"/>
      <c r="I39" s="25" t="s">
        <v>329</v>
      </c>
      <c r="J39" s="30"/>
      <c r="K39" s="157"/>
      <c r="L39" s="81" t="s">
        <v>37</v>
      </c>
      <c r="M39" s="29"/>
    </row>
    <row r="40" spans="1:13" ht="74.5" customHeight="1" thickBot="1">
      <c r="A40" s="22">
        <v>32</v>
      </c>
      <c r="B40" s="27"/>
      <c r="C40" s="184"/>
      <c r="D40" s="190"/>
      <c r="E40" s="82" t="s">
        <v>330</v>
      </c>
      <c r="F40" s="23" t="s">
        <v>333</v>
      </c>
      <c r="G40" s="23" t="s">
        <v>334</v>
      </c>
      <c r="H40" s="24"/>
      <c r="I40" s="25" t="s">
        <v>335</v>
      </c>
      <c r="J40" s="30"/>
      <c r="K40" s="157"/>
      <c r="L40" s="81" t="s">
        <v>37</v>
      </c>
      <c r="M40" s="29"/>
    </row>
    <row r="41" spans="1:13" ht="82" customHeight="1" thickBot="1">
      <c r="A41" s="22">
        <v>33</v>
      </c>
      <c r="B41" s="27"/>
      <c r="C41" s="184"/>
      <c r="D41" s="190"/>
      <c r="E41" s="82" t="s">
        <v>336</v>
      </c>
      <c r="F41" s="23" t="s">
        <v>337</v>
      </c>
      <c r="G41" s="23" t="s">
        <v>338</v>
      </c>
      <c r="H41" s="24"/>
      <c r="I41" s="25" t="s">
        <v>339</v>
      </c>
      <c r="J41" s="30"/>
      <c r="K41" s="157"/>
      <c r="L41" s="81" t="s">
        <v>37</v>
      </c>
      <c r="M41" s="29"/>
    </row>
    <row r="42" spans="1:13" ht="80.5" customHeight="1" thickBot="1">
      <c r="A42" s="22">
        <v>34</v>
      </c>
      <c r="B42" s="27"/>
      <c r="C42" s="184"/>
      <c r="D42" s="190"/>
      <c r="E42" s="82" t="s">
        <v>340</v>
      </c>
      <c r="F42" s="23" t="s">
        <v>341</v>
      </c>
      <c r="G42" s="23" t="s">
        <v>342</v>
      </c>
      <c r="H42" s="24"/>
      <c r="I42" s="25" t="s">
        <v>343</v>
      </c>
      <c r="J42" s="30"/>
      <c r="K42" s="157"/>
      <c r="L42" s="81" t="s">
        <v>37</v>
      </c>
      <c r="M42" s="29"/>
    </row>
    <row r="43" spans="1:13" ht="69.5" customHeight="1" thickBot="1">
      <c r="A43" s="22">
        <v>35</v>
      </c>
      <c r="B43" s="27"/>
      <c r="C43" s="184"/>
      <c r="D43" s="190"/>
      <c r="E43" s="82" t="s">
        <v>344</v>
      </c>
      <c r="F43" s="23" t="s">
        <v>345</v>
      </c>
      <c r="G43" s="23" t="s">
        <v>346</v>
      </c>
      <c r="H43" s="24"/>
      <c r="I43" s="25" t="s">
        <v>347</v>
      </c>
      <c r="J43" s="30"/>
      <c r="K43" s="157"/>
      <c r="L43" s="81" t="s">
        <v>37</v>
      </c>
      <c r="M43" s="29"/>
    </row>
    <row r="44" spans="1:13" ht="69.5" customHeight="1" thickBot="1">
      <c r="A44" s="22">
        <v>36</v>
      </c>
      <c r="B44" s="27"/>
      <c r="C44" s="184"/>
      <c r="D44" s="190"/>
      <c r="E44" s="82" t="s">
        <v>351</v>
      </c>
      <c r="F44" s="23" t="s">
        <v>353</v>
      </c>
      <c r="G44" s="23" t="s">
        <v>354</v>
      </c>
      <c r="H44" s="24"/>
      <c r="I44" s="25" t="s">
        <v>350</v>
      </c>
      <c r="J44" s="30"/>
      <c r="K44" s="157"/>
      <c r="L44" s="81" t="s">
        <v>37</v>
      </c>
      <c r="M44" s="29"/>
    </row>
    <row r="45" spans="1:13" ht="89" customHeight="1" thickBot="1">
      <c r="A45" s="22">
        <v>37</v>
      </c>
      <c r="B45" s="27"/>
      <c r="C45" s="184"/>
      <c r="D45" s="190"/>
      <c r="E45" s="82" t="s">
        <v>352</v>
      </c>
      <c r="F45" s="23" t="s">
        <v>348</v>
      </c>
      <c r="G45" s="23" t="s">
        <v>349</v>
      </c>
      <c r="H45" s="24"/>
      <c r="I45" s="25" t="s">
        <v>355</v>
      </c>
      <c r="J45" s="30"/>
      <c r="K45" s="157"/>
      <c r="L45" s="81" t="s">
        <v>37</v>
      </c>
      <c r="M45" s="29"/>
    </row>
    <row r="46" spans="1:13" ht="87" customHeight="1" thickBot="1">
      <c r="A46" s="22">
        <v>38</v>
      </c>
      <c r="B46" s="27"/>
      <c r="C46" s="184"/>
      <c r="D46" s="190"/>
      <c r="E46" s="82" t="s">
        <v>356</v>
      </c>
      <c r="F46" s="23" t="s">
        <v>357</v>
      </c>
      <c r="G46" s="23" t="s">
        <v>358</v>
      </c>
      <c r="H46" s="24"/>
      <c r="I46" s="25" t="s">
        <v>359</v>
      </c>
      <c r="J46" s="30"/>
      <c r="K46" s="157"/>
      <c r="L46" s="81" t="s">
        <v>37</v>
      </c>
      <c r="M46" s="29"/>
    </row>
    <row r="47" spans="1:13" ht="92" customHeight="1" thickBot="1">
      <c r="A47" s="22">
        <v>39</v>
      </c>
      <c r="B47" s="27"/>
      <c r="C47" s="184"/>
      <c r="D47" s="190"/>
      <c r="E47" s="82" t="s">
        <v>360</v>
      </c>
      <c r="F47" s="23" t="s">
        <v>361</v>
      </c>
      <c r="G47" s="23" t="s">
        <v>362</v>
      </c>
      <c r="H47" s="24"/>
      <c r="I47" s="25" t="s">
        <v>363</v>
      </c>
      <c r="J47" s="30"/>
      <c r="K47" s="157"/>
      <c r="L47" s="81" t="s">
        <v>37</v>
      </c>
      <c r="M47" s="29"/>
    </row>
    <row r="48" spans="1:13" ht="92" customHeight="1" thickBot="1">
      <c r="A48" s="22">
        <v>40</v>
      </c>
      <c r="B48" s="27"/>
      <c r="C48" s="184"/>
      <c r="D48" s="190"/>
      <c r="E48" s="82" t="s">
        <v>364</v>
      </c>
      <c r="F48" s="23" t="s">
        <v>365</v>
      </c>
      <c r="G48" s="23" t="s">
        <v>366</v>
      </c>
      <c r="H48" s="24"/>
      <c r="I48" s="25" t="s">
        <v>367</v>
      </c>
      <c r="J48" s="30"/>
      <c r="K48" s="157"/>
      <c r="L48" s="81" t="s">
        <v>37</v>
      </c>
      <c r="M48" s="29"/>
    </row>
    <row r="49" spans="1:13" ht="103.5" customHeight="1" thickBot="1">
      <c r="A49" s="22">
        <v>41</v>
      </c>
      <c r="B49" s="27"/>
      <c r="C49" s="184"/>
      <c r="D49" s="190"/>
      <c r="E49" s="120" t="s">
        <v>368</v>
      </c>
      <c r="F49" s="122" t="s">
        <v>369</v>
      </c>
      <c r="G49" s="122" t="s">
        <v>370</v>
      </c>
      <c r="H49" s="33"/>
      <c r="I49" s="123" t="s">
        <v>371</v>
      </c>
      <c r="J49" s="34"/>
      <c r="K49" s="31"/>
      <c r="L49" s="124" t="s">
        <v>37</v>
      </c>
      <c r="M49" s="31"/>
    </row>
    <row r="50" spans="1:13" ht="105.5" customHeight="1" thickBot="1">
      <c r="A50" s="22">
        <v>42</v>
      </c>
      <c r="B50" s="27"/>
      <c r="C50" s="185"/>
      <c r="D50" s="191"/>
      <c r="E50" s="120" t="s">
        <v>372</v>
      </c>
      <c r="F50" s="122" t="s">
        <v>373</v>
      </c>
      <c r="G50" s="122" t="s">
        <v>374</v>
      </c>
      <c r="H50" s="33"/>
      <c r="I50" s="123" t="s">
        <v>371</v>
      </c>
      <c r="J50" s="125" t="s">
        <v>375</v>
      </c>
      <c r="K50" s="124" t="s">
        <v>381</v>
      </c>
      <c r="L50" s="165" t="s">
        <v>48</v>
      </c>
      <c r="M50" s="31"/>
    </row>
    <row r="51" spans="1:13" ht="38.5" customHeight="1" thickBot="1">
      <c r="A51" s="193"/>
      <c r="B51" s="194"/>
      <c r="C51" s="202"/>
      <c r="D51" s="203"/>
      <c r="E51" s="204"/>
      <c r="F51" s="205"/>
      <c r="G51" s="205"/>
      <c r="H51" s="206"/>
      <c r="I51" s="207"/>
      <c r="J51" s="208"/>
      <c r="K51" s="209"/>
      <c r="L51" s="209"/>
      <c r="M51" s="210"/>
    </row>
    <row r="52" spans="1:13" ht="120.5" customHeight="1" thickBot="1">
      <c r="A52" s="22">
        <v>43</v>
      </c>
      <c r="B52" s="78"/>
      <c r="C52" s="183" t="s">
        <v>386</v>
      </c>
      <c r="D52" s="164" t="s">
        <v>93</v>
      </c>
      <c r="E52" s="118" t="s">
        <v>94</v>
      </c>
      <c r="F52" s="88" t="s">
        <v>95</v>
      </c>
      <c r="G52" s="88" t="s">
        <v>36</v>
      </c>
      <c r="H52" s="88" t="s">
        <v>38</v>
      </c>
      <c r="I52" s="88" t="s">
        <v>96</v>
      </c>
      <c r="J52" s="89"/>
      <c r="K52" s="97"/>
      <c r="L52" s="90" t="s">
        <v>37</v>
      </c>
      <c r="M52" s="79"/>
    </row>
    <row r="53" spans="1:13" ht="123.5" customHeight="1" thickBot="1">
      <c r="A53" s="22">
        <v>44</v>
      </c>
      <c r="B53" s="27"/>
      <c r="C53" s="181"/>
      <c r="D53" s="186"/>
      <c r="E53" s="96" t="s">
        <v>97</v>
      </c>
      <c r="F53" s="85" t="s">
        <v>39</v>
      </c>
      <c r="G53" s="85" t="s">
        <v>36</v>
      </c>
      <c r="H53" s="85" t="s">
        <v>38</v>
      </c>
      <c r="I53" s="85" t="s">
        <v>98</v>
      </c>
      <c r="J53" s="86"/>
      <c r="K53" s="98"/>
      <c r="L53" s="90" t="s">
        <v>37</v>
      </c>
      <c r="M53" s="28"/>
    </row>
    <row r="54" spans="1:13" ht="122" customHeight="1" thickBot="1">
      <c r="A54" s="22">
        <v>45</v>
      </c>
      <c r="B54" s="27"/>
      <c r="C54" s="181"/>
      <c r="D54" s="186"/>
      <c r="E54" s="94" t="s">
        <v>40</v>
      </c>
      <c r="F54" s="85" t="s">
        <v>41</v>
      </c>
      <c r="G54" s="85" t="s">
        <v>36</v>
      </c>
      <c r="H54" s="85" t="s">
        <v>38</v>
      </c>
      <c r="I54" s="85" t="s">
        <v>99</v>
      </c>
      <c r="J54" s="91"/>
      <c r="K54" s="95"/>
      <c r="L54" s="90" t="s">
        <v>37</v>
      </c>
      <c r="M54" s="29"/>
    </row>
    <row r="55" spans="1:13" ht="123" customHeight="1" thickBot="1">
      <c r="A55" s="22">
        <v>46</v>
      </c>
      <c r="B55" s="27"/>
      <c r="C55" s="181"/>
      <c r="D55" s="186"/>
      <c r="E55" s="96" t="s">
        <v>100</v>
      </c>
      <c r="F55" s="85" t="s">
        <v>43</v>
      </c>
      <c r="G55" s="85" t="s">
        <v>36</v>
      </c>
      <c r="H55" s="85" t="s">
        <v>38</v>
      </c>
      <c r="I55" s="85" t="s">
        <v>42</v>
      </c>
      <c r="J55" s="91"/>
      <c r="K55" s="95"/>
      <c r="L55" s="90" t="s">
        <v>37</v>
      </c>
      <c r="M55" s="29"/>
    </row>
    <row r="56" spans="1:13" ht="128" customHeight="1" thickBot="1">
      <c r="A56" s="22">
        <v>47</v>
      </c>
      <c r="B56" s="27"/>
      <c r="C56" s="181"/>
      <c r="D56" s="186"/>
      <c r="E56" s="96" t="s">
        <v>101</v>
      </c>
      <c r="F56" s="85" t="s">
        <v>44</v>
      </c>
      <c r="G56" s="85" t="s">
        <v>36</v>
      </c>
      <c r="H56" s="85" t="s">
        <v>38</v>
      </c>
      <c r="I56" s="85" t="s">
        <v>102</v>
      </c>
      <c r="J56" s="91"/>
      <c r="K56" s="95"/>
      <c r="L56" s="90" t="s">
        <v>37</v>
      </c>
      <c r="M56" s="29"/>
    </row>
    <row r="57" spans="1:13" ht="114" customHeight="1" thickBot="1">
      <c r="A57" s="22">
        <v>48</v>
      </c>
      <c r="B57" s="27"/>
      <c r="C57" s="181"/>
      <c r="D57" s="186"/>
      <c r="E57" s="96" t="s">
        <v>103</v>
      </c>
      <c r="F57" s="85" t="s">
        <v>45</v>
      </c>
      <c r="G57" s="85" t="s">
        <v>36</v>
      </c>
      <c r="H57" s="85" t="s">
        <v>38</v>
      </c>
      <c r="I57" s="85" t="s">
        <v>105</v>
      </c>
      <c r="J57" s="91"/>
      <c r="K57" s="95"/>
      <c r="L57" s="90" t="s">
        <v>37</v>
      </c>
      <c r="M57" s="29"/>
    </row>
    <row r="58" spans="1:13" ht="127" customHeight="1" thickBot="1">
      <c r="A58" s="22">
        <v>49</v>
      </c>
      <c r="B58" s="27"/>
      <c r="C58" s="181"/>
      <c r="D58" s="186"/>
      <c r="E58" s="96" t="s">
        <v>106</v>
      </c>
      <c r="F58" s="85" t="s">
        <v>46</v>
      </c>
      <c r="G58" s="85" t="s">
        <v>36</v>
      </c>
      <c r="H58" s="85" t="s">
        <v>38</v>
      </c>
      <c r="I58" s="85" t="s">
        <v>104</v>
      </c>
      <c r="J58" s="91"/>
      <c r="K58" s="95"/>
      <c r="L58" s="90" t="s">
        <v>37</v>
      </c>
      <c r="M58" s="29"/>
    </row>
    <row r="59" spans="1:13" ht="124" customHeight="1" thickBot="1">
      <c r="A59" s="22">
        <v>50</v>
      </c>
      <c r="B59" s="32"/>
      <c r="C59" s="181"/>
      <c r="D59" s="186"/>
      <c r="E59" s="96" t="s">
        <v>107</v>
      </c>
      <c r="F59" s="85" t="s">
        <v>108</v>
      </c>
      <c r="G59" s="85" t="s">
        <v>36</v>
      </c>
      <c r="H59" s="85" t="s">
        <v>38</v>
      </c>
      <c r="I59" s="85" t="s">
        <v>104</v>
      </c>
      <c r="J59" s="91"/>
      <c r="K59" s="95"/>
      <c r="L59" s="90" t="s">
        <v>37</v>
      </c>
      <c r="M59" s="29"/>
    </row>
    <row r="60" spans="1:13" ht="128" customHeight="1" thickBot="1">
      <c r="A60" s="22">
        <v>51</v>
      </c>
      <c r="B60" s="27"/>
      <c r="C60" s="181"/>
      <c r="D60" s="186"/>
      <c r="E60" s="96" t="s">
        <v>109</v>
      </c>
      <c r="F60" s="85" t="s">
        <v>47</v>
      </c>
      <c r="G60" s="85" t="s">
        <v>36</v>
      </c>
      <c r="H60" s="85" t="s">
        <v>38</v>
      </c>
      <c r="I60" s="85" t="s">
        <v>110</v>
      </c>
      <c r="J60" s="92"/>
      <c r="K60" s="95"/>
      <c r="L60" s="90" t="s">
        <v>37</v>
      </c>
      <c r="M60" s="29"/>
    </row>
    <row r="61" spans="1:13" ht="127" customHeight="1" thickBot="1">
      <c r="A61" s="22">
        <v>52</v>
      </c>
      <c r="B61" s="27"/>
      <c r="C61" s="181"/>
      <c r="D61" s="186"/>
      <c r="E61" s="96" t="s">
        <v>148</v>
      </c>
      <c r="F61" s="85" t="s">
        <v>111</v>
      </c>
      <c r="G61" s="85" t="s">
        <v>36</v>
      </c>
      <c r="H61" s="85" t="s">
        <v>38</v>
      </c>
      <c r="I61" s="85" t="s">
        <v>152</v>
      </c>
      <c r="J61" s="92"/>
      <c r="K61" s="95"/>
      <c r="L61" s="90" t="s">
        <v>37</v>
      </c>
      <c r="M61" s="29"/>
    </row>
    <row r="62" spans="1:13" ht="127" customHeight="1" thickBot="1">
      <c r="A62" s="22">
        <v>53</v>
      </c>
      <c r="B62" s="32"/>
      <c r="C62" s="181"/>
      <c r="D62" s="186"/>
      <c r="E62" s="96" t="s">
        <v>171</v>
      </c>
      <c r="F62" s="85" t="s">
        <v>172</v>
      </c>
      <c r="G62" s="85" t="s">
        <v>173</v>
      </c>
      <c r="H62" s="85" t="s">
        <v>38</v>
      </c>
      <c r="I62" s="85" t="s">
        <v>154</v>
      </c>
      <c r="J62" s="92"/>
      <c r="K62" s="95"/>
      <c r="L62" s="90" t="s">
        <v>37</v>
      </c>
      <c r="M62" s="29"/>
    </row>
    <row r="63" spans="1:13" ht="127" customHeight="1" thickBot="1">
      <c r="A63" s="22">
        <v>54</v>
      </c>
      <c r="B63" s="32"/>
      <c r="C63" s="181"/>
      <c r="D63" s="170"/>
      <c r="E63" s="96" t="s">
        <v>174</v>
      </c>
      <c r="F63" s="85" t="s">
        <v>175</v>
      </c>
      <c r="G63" s="85" t="s">
        <v>176</v>
      </c>
      <c r="H63" s="85" t="s">
        <v>177</v>
      </c>
      <c r="I63" s="85" t="s">
        <v>178</v>
      </c>
      <c r="J63" s="92"/>
      <c r="K63" s="95"/>
      <c r="L63" s="90" t="s">
        <v>37</v>
      </c>
      <c r="M63" s="29"/>
    </row>
    <row r="64" spans="1:13" ht="127" customHeight="1" thickBot="1">
      <c r="A64" s="22">
        <v>55</v>
      </c>
      <c r="B64" s="32"/>
      <c r="C64" s="181"/>
      <c r="D64" s="187" t="s">
        <v>189</v>
      </c>
      <c r="E64" s="96" t="s">
        <v>190</v>
      </c>
      <c r="F64" s="85" t="s">
        <v>191</v>
      </c>
      <c r="G64" s="85" t="s">
        <v>192</v>
      </c>
      <c r="H64" s="85" t="s">
        <v>38</v>
      </c>
      <c r="I64" s="85" t="s">
        <v>193</v>
      </c>
      <c r="J64" s="92"/>
      <c r="K64" s="95"/>
      <c r="L64" s="90" t="s">
        <v>37</v>
      </c>
      <c r="M64" s="29"/>
    </row>
    <row r="65" spans="1:13" ht="127" customHeight="1" thickBot="1">
      <c r="A65" s="22">
        <v>56</v>
      </c>
      <c r="B65" s="32"/>
      <c r="C65" s="181"/>
      <c r="D65" s="169"/>
      <c r="E65" s="96" t="s">
        <v>40</v>
      </c>
      <c r="F65" s="85" t="s">
        <v>194</v>
      </c>
      <c r="G65" s="85" t="s">
        <v>36</v>
      </c>
      <c r="H65" s="85" t="s">
        <v>38</v>
      </c>
      <c r="I65" s="85" t="s">
        <v>193</v>
      </c>
      <c r="J65" s="92"/>
      <c r="K65" s="95"/>
      <c r="L65" s="90" t="s">
        <v>37</v>
      </c>
      <c r="M65" s="29"/>
    </row>
    <row r="66" spans="1:13" ht="127" customHeight="1" thickBot="1">
      <c r="A66" s="22">
        <v>57</v>
      </c>
      <c r="B66" s="32"/>
      <c r="C66" s="182"/>
      <c r="D66" s="119" t="s">
        <v>232</v>
      </c>
      <c r="E66" s="96" t="s">
        <v>233</v>
      </c>
      <c r="F66" s="85" t="s">
        <v>234</v>
      </c>
      <c r="G66" s="85" t="s">
        <v>235</v>
      </c>
      <c r="H66" s="85"/>
      <c r="I66" s="85" t="s">
        <v>239</v>
      </c>
      <c r="J66" s="92"/>
      <c r="K66" s="95"/>
      <c r="L66" s="90" t="s">
        <v>37</v>
      </c>
      <c r="M66" s="29"/>
    </row>
    <row r="67" spans="1:13" ht="45.5" customHeight="1" thickBot="1">
      <c r="A67" s="193"/>
      <c r="B67" s="194"/>
      <c r="C67" s="211"/>
      <c r="D67" s="212"/>
      <c r="E67" s="197"/>
      <c r="F67" s="198"/>
      <c r="G67" s="198"/>
      <c r="H67" s="198"/>
      <c r="I67" s="198"/>
      <c r="J67" s="213"/>
      <c r="K67" s="214"/>
      <c r="L67" s="215"/>
      <c r="M67" s="216"/>
    </row>
    <row r="68" spans="1:13" ht="116.5" customHeight="1" thickBot="1">
      <c r="A68" s="22">
        <v>58</v>
      </c>
      <c r="B68" s="32"/>
      <c r="C68" s="166" t="s">
        <v>76</v>
      </c>
      <c r="D68" s="187" t="s">
        <v>93</v>
      </c>
      <c r="E68" s="96" t="s">
        <v>112</v>
      </c>
      <c r="F68" s="85" t="s">
        <v>113</v>
      </c>
      <c r="G68" s="85" t="s">
        <v>114</v>
      </c>
      <c r="H68" s="85" t="s">
        <v>115</v>
      </c>
      <c r="I68" s="85" t="s">
        <v>116</v>
      </c>
      <c r="J68" s="92"/>
      <c r="K68" s="163" t="s">
        <v>0</v>
      </c>
      <c r="L68" s="90" t="s">
        <v>48</v>
      </c>
      <c r="M68" s="29"/>
    </row>
    <row r="69" spans="1:13" ht="131.5" customHeight="1" thickBot="1">
      <c r="A69" s="22">
        <v>59</v>
      </c>
      <c r="B69" s="32"/>
      <c r="C69" s="167"/>
      <c r="D69" s="188"/>
      <c r="E69" s="96" t="s">
        <v>121</v>
      </c>
      <c r="F69" s="85" t="s">
        <v>122</v>
      </c>
      <c r="G69" s="85" t="s">
        <v>123</v>
      </c>
      <c r="H69" s="85" t="s">
        <v>124</v>
      </c>
      <c r="I69" s="85" t="s">
        <v>125</v>
      </c>
      <c r="J69" s="92"/>
      <c r="K69" s="163" t="s">
        <v>381</v>
      </c>
      <c r="L69" s="90" t="s">
        <v>48</v>
      </c>
      <c r="M69" s="29"/>
    </row>
    <row r="70" spans="1:13" ht="131.5" customHeight="1" thickBot="1">
      <c r="A70" s="22">
        <v>60</v>
      </c>
      <c r="B70" s="32"/>
      <c r="C70" s="167"/>
      <c r="D70" s="188"/>
      <c r="E70" s="96" t="s">
        <v>126</v>
      </c>
      <c r="F70" s="85" t="s">
        <v>127</v>
      </c>
      <c r="G70" s="85" t="s">
        <v>130</v>
      </c>
      <c r="H70" s="85" t="s">
        <v>128</v>
      </c>
      <c r="I70" s="85" t="s">
        <v>129</v>
      </c>
      <c r="J70" s="92"/>
      <c r="K70" s="163" t="s">
        <v>381</v>
      </c>
      <c r="L70" s="90" t="s">
        <v>48</v>
      </c>
      <c r="M70" s="29"/>
    </row>
    <row r="71" spans="1:13" ht="127.5" customHeight="1" thickBot="1">
      <c r="A71" s="22">
        <v>61</v>
      </c>
      <c r="B71" s="32"/>
      <c r="C71" s="167"/>
      <c r="D71" s="169"/>
      <c r="E71" s="96" t="s">
        <v>159</v>
      </c>
      <c r="F71" s="85" t="s">
        <v>158</v>
      </c>
      <c r="G71" s="85" t="s">
        <v>160</v>
      </c>
      <c r="H71" s="85" t="s">
        <v>161</v>
      </c>
      <c r="I71" s="85" t="s">
        <v>163</v>
      </c>
      <c r="J71" s="92"/>
      <c r="K71" s="156"/>
      <c r="L71" s="90" t="s">
        <v>37</v>
      </c>
      <c r="M71" s="29"/>
    </row>
    <row r="72" spans="1:13" ht="127" customHeight="1" thickBot="1">
      <c r="A72" s="22">
        <v>62</v>
      </c>
      <c r="B72" s="32"/>
      <c r="C72" s="167"/>
      <c r="D72" s="187" t="s">
        <v>232</v>
      </c>
      <c r="E72" s="96" t="s">
        <v>272</v>
      </c>
      <c r="F72" s="85" t="s">
        <v>273</v>
      </c>
      <c r="G72" s="85" t="s">
        <v>274</v>
      </c>
      <c r="H72" s="85" t="s">
        <v>275</v>
      </c>
      <c r="I72" s="85" t="s">
        <v>249</v>
      </c>
      <c r="J72" s="92"/>
      <c r="K72" s="163" t="s">
        <v>0</v>
      </c>
      <c r="L72" s="90" t="s">
        <v>48</v>
      </c>
      <c r="M72" s="29"/>
    </row>
    <row r="73" spans="1:13" ht="86" customHeight="1" thickBot="1">
      <c r="A73" s="22">
        <v>63</v>
      </c>
      <c r="B73" s="32"/>
      <c r="C73" s="168"/>
      <c r="D73" s="169"/>
      <c r="E73" s="96" t="s">
        <v>250</v>
      </c>
      <c r="F73" s="85" t="s">
        <v>251</v>
      </c>
      <c r="G73" s="85" t="s">
        <v>252</v>
      </c>
      <c r="H73" s="85"/>
      <c r="I73" s="85" t="s">
        <v>253</v>
      </c>
      <c r="J73" s="92"/>
      <c r="K73" s="156"/>
      <c r="L73" s="90" t="s">
        <v>37</v>
      </c>
      <c r="M73" s="29"/>
    </row>
    <row r="74" spans="1:13" ht="28.5" customHeight="1" thickBot="1">
      <c r="A74" s="175"/>
      <c r="B74" s="171"/>
      <c r="C74" s="172"/>
      <c r="D74" s="176"/>
      <c r="E74" s="173"/>
      <c r="F74" s="174"/>
      <c r="G74" s="174"/>
      <c r="H74" s="174"/>
      <c r="I74" s="174"/>
      <c r="J74" s="177"/>
      <c r="K74" s="178"/>
      <c r="L74" s="179"/>
      <c r="M74" s="180"/>
    </row>
    <row r="75" spans="1:13" ht="15.75" customHeight="1">
      <c r="A75" s="37"/>
      <c r="B75" s="38"/>
      <c r="C75" s="39"/>
      <c r="D75" s="40"/>
      <c r="E75" s="41"/>
      <c r="F75" s="42"/>
      <c r="G75" s="42"/>
      <c r="H75" s="43"/>
      <c r="I75" s="42"/>
      <c r="J75" s="44"/>
      <c r="K75" s="42"/>
      <c r="L75" s="36"/>
      <c r="M75" s="36"/>
    </row>
    <row r="76" spans="1:13" ht="15.75" customHeight="1">
      <c r="A76" s="37"/>
      <c r="B76" s="38"/>
      <c r="C76" s="39"/>
      <c r="D76" s="40"/>
      <c r="E76" s="41"/>
      <c r="F76" s="42"/>
      <c r="G76" s="42"/>
      <c r="H76" s="43"/>
      <c r="I76" s="42"/>
      <c r="J76" s="44"/>
      <c r="K76" s="42"/>
      <c r="L76" s="36"/>
      <c r="M76" s="36"/>
    </row>
    <row r="77" spans="1:13" ht="15.75" customHeight="1">
      <c r="A77" s="37"/>
      <c r="B77" s="38"/>
      <c r="C77" s="39"/>
      <c r="D77" s="40"/>
      <c r="E77" s="41"/>
      <c r="F77" s="42"/>
      <c r="G77" s="42"/>
      <c r="H77" s="43"/>
      <c r="I77" s="42"/>
      <c r="J77" s="44"/>
      <c r="K77" s="42"/>
      <c r="L77" s="36"/>
      <c r="M77" s="36"/>
    </row>
    <row r="78" spans="1:13" ht="15.75" customHeight="1">
      <c r="A78" s="37"/>
      <c r="B78" s="38"/>
      <c r="C78" s="39"/>
      <c r="D78" s="40"/>
      <c r="E78" s="41"/>
      <c r="F78" s="42"/>
      <c r="G78" s="42"/>
      <c r="H78" s="43"/>
      <c r="I78" s="42"/>
      <c r="J78" s="44"/>
      <c r="K78" s="42"/>
      <c r="L78" s="36"/>
      <c r="M78" s="36"/>
    </row>
    <row r="79" spans="1:13" ht="15.75" customHeight="1">
      <c r="A79" s="37"/>
      <c r="B79" s="38"/>
      <c r="C79" s="39"/>
      <c r="D79" s="40"/>
      <c r="E79" s="41"/>
      <c r="F79" s="36"/>
      <c r="G79" s="36"/>
      <c r="H79" s="45"/>
      <c r="I79" s="36"/>
      <c r="J79" s="44"/>
      <c r="K79" s="42"/>
      <c r="L79" s="36"/>
      <c r="M79" s="36"/>
    </row>
    <row r="80" spans="1:13" ht="15.75" customHeight="1">
      <c r="A80" s="37"/>
      <c r="B80" s="38"/>
      <c r="C80" s="39"/>
      <c r="D80" s="40"/>
      <c r="E80" s="41"/>
      <c r="F80" s="36"/>
      <c r="G80" s="36"/>
      <c r="H80" s="45"/>
      <c r="I80" s="36"/>
      <c r="J80" s="44"/>
      <c r="K80" s="42"/>
      <c r="L80" s="36"/>
      <c r="M80" s="36"/>
    </row>
    <row r="81" spans="1:13" ht="15.75" customHeight="1">
      <c r="A81" s="37"/>
      <c r="B81" s="38"/>
      <c r="C81" s="39"/>
      <c r="D81" s="40"/>
      <c r="E81" s="41"/>
      <c r="F81" s="36"/>
      <c r="G81" s="36"/>
      <c r="H81" s="45"/>
      <c r="I81" s="36"/>
      <c r="J81" s="44"/>
      <c r="K81" s="42"/>
      <c r="L81" s="36"/>
      <c r="M81" s="36"/>
    </row>
    <row r="82" spans="1:13" ht="15.75" customHeight="1">
      <c r="A82" s="46"/>
      <c r="B82" s="47"/>
      <c r="C82" s="39"/>
      <c r="D82" s="48"/>
      <c r="E82" s="41"/>
      <c r="F82" s="36"/>
      <c r="G82" s="36"/>
      <c r="H82" s="45"/>
      <c r="I82" s="36"/>
      <c r="J82" s="44"/>
      <c r="K82" s="36"/>
      <c r="L82" s="36"/>
      <c r="M82" s="36"/>
    </row>
    <row r="83" spans="1:13" ht="15.75" customHeight="1">
      <c r="A83" s="46"/>
      <c r="B83" s="47"/>
      <c r="C83" s="39"/>
      <c r="D83" s="48"/>
      <c r="E83" s="41"/>
      <c r="F83" s="36"/>
      <c r="G83" s="36"/>
      <c r="H83" s="45"/>
      <c r="I83" s="36"/>
      <c r="J83" s="44"/>
      <c r="K83" s="36"/>
      <c r="L83" s="36"/>
      <c r="M83" s="36"/>
    </row>
    <row r="84" spans="1:13" ht="15.75" customHeight="1">
      <c r="A84" s="46"/>
      <c r="B84" s="47"/>
      <c r="C84" s="39"/>
      <c r="D84" s="48"/>
      <c r="E84" s="41"/>
      <c r="F84" s="36"/>
      <c r="G84" s="36"/>
      <c r="H84" s="45"/>
      <c r="I84" s="36"/>
      <c r="J84" s="44"/>
      <c r="K84" s="36"/>
      <c r="L84" s="36"/>
      <c r="M84" s="36"/>
    </row>
    <row r="85" spans="1:13" ht="15.75" customHeight="1">
      <c r="A85" s="46"/>
      <c r="B85" s="47"/>
      <c r="C85" s="39"/>
      <c r="D85" s="48"/>
      <c r="E85" s="41"/>
      <c r="F85" s="36"/>
      <c r="G85" s="36"/>
      <c r="H85" s="45"/>
      <c r="I85" s="36"/>
      <c r="J85" s="44"/>
      <c r="K85" s="36"/>
      <c r="L85" s="36"/>
      <c r="M85" s="36"/>
    </row>
    <row r="86" spans="1:13" ht="15.75" customHeight="1">
      <c r="A86" s="46"/>
      <c r="B86" s="47"/>
      <c r="C86" s="39"/>
      <c r="D86" s="48"/>
      <c r="E86" s="41"/>
      <c r="F86" s="36"/>
      <c r="G86" s="36"/>
      <c r="H86" s="45"/>
      <c r="I86" s="36"/>
      <c r="J86" s="44"/>
      <c r="K86" s="36"/>
      <c r="L86" s="36"/>
      <c r="M86" s="36"/>
    </row>
    <row r="87" spans="1:13" ht="15.75" customHeight="1">
      <c r="A87" s="46"/>
      <c r="B87" s="47"/>
      <c r="C87" s="39"/>
      <c r="D87" s="48"/>
      <c r="E87" s="41"/>
      <c r="F87" s="36"/>
      <c r="G87" s="36"/>
      <c r="H87" s="45"/>
      <c r="I87" s="36"/>
      <c r="J87" s="44"/>
      <c r="K87" s="36"/>
      <c r="L87" s="36"/>
      <c r="M87" s="36"/>
    </row>
    <row r="88" spans="1:13" ht="15.75" customHeight="1">
      <c r="A88" s="46"/>
      <c r="B88" s="47"/>
      <c r="C88" s="39"/>
      <c r="D88" s="48"/>
      <c r="E88" s="41"/>
      <c r="F88" s="36"/>
      <c r="G88" s="36"/>
      <c r="H88" s="45"/>
      <c r="I88" s="36"/>
      <c r="J88" s="44"/>
      <c r="K88" s="36"/>
      <c r="L88" s="36"/>
      <c r="M88" s="36"/>
    </row>
    <row r="89" spans="1:13" ht="15.75" customHeight="1">
      <c r="A89" s="46"/>
      <c r="B89" s="47"/>
      <c r="C89" s="39"/>
      <c r="D89" s="48"/>
      <c r="E89" s="41"/>
      <c r="F89" s="36"/>
      <c r="G89" s="36"/>
      <c r="H89" s="45"/>
      <c r="I89" s="36"/>
      <c r="J89" s="44"/>
      <c r="K89" s="36"/>
      <c r="L89" s="36"/>
      <c r="M89" s="36"/>
    </row>
    <row r="90" spans="1:13" ht="15.75" customHeight="1">
      <c r="A90" s="46"/>
      <c r="B90" s="47"/>
      <c r="C90" s="39"/>
      <c r="D90" s="48"/>
      <c r="E90" s="41"/>
      <c r="F90" s="36"/>
      <c r="G90" s="36"/>
      <c r="H90" s="45"/>
      <c r="I90" s="36"/>
      <c r="J90" s="44"/>
      <c r="K90" s="36"/>
      <c r="L90" s="36"/>
      <c r="M90" s="36"/>
    </row>
    <row r="91" spans="1:13" ht="15.75" customHeight="1">
      <c r="A91" s="46"/>
      <c r="B91" s="47"/>
      <c r="C91" s="39"/>
      <c r="D91" s="48"/>
      <c r="E91" s="41"/>
      <c r="F91" s="36"/>
      <c r="G91" s="36"/>
      <c r="H91" s="45"/>
      <c r="I91" s="36"/>
      <c r="J91" s="44"/>
      <c r="K91" s="36"/>
      <c r="L91" s="36"/>
      <c r="M91" s="36"/>
    </row>
    <row r="92" spans="1:13" ht="15.75" customHeight="1">
      <c r="A92" s="46"/>
      <c r="B92" s="47"/>
      <c r="C92" s="39"/>
      <c r="D92" s="48"/>
      <c r="E92" s="41"/>
      <c r="F92" s="36"/>
      <c r="G92" s="36"/>
      <c r="H92" s="45"/>
      <c r="I92" s="36"/>
      <c r="J92" s="44"/>
      <c r="K92" s="36"/>
      <c r="L92" s="36"/>
      <c r="M92" s="36"/>
    </row>
    <row r="93" spans="1:13" ht="15.75" customHeight="1">
      <c r="A93" s="46"/>
      <c r="B93" s="47"/>
      <c r="C93" s="39"/>
      <c r="D93" s="48"/>
      <c r="E93" s="41"/>
      <c r="F93" s="36"/>
      <c r="G93" s="36"/>
      <c r="H93" s="45"/>
      <c r="I93" s="36"/>
      <c r="J93" s="44"/>
      <c r="K93" s="36"/>
      <c r="L93" s="36"/>
      <c r="M93" s="36"/>
    </row>
    <row r="94" spans="1:13" ht="15.75" customHeight="1">
      <c r="A94" s="46"/>
      <c r="B94" s="47"/>
      <c r="C94" s="39"/>
      <c r="D94" s="48"/>
      <c r="E94" s="41"/>
      <c r="F94" s="36"/>
      <c r="G94" s="36"/>
      <c r="H94" s="45"/>
      <c r="I94" s="36"/>
      <c r="J94" s="44"/>
      <c r="K94" s="36"/>
      <c r="L94" s="36"/>
      <c r="M94" s="36"/>
    </row>
    <row r="95" spans="1:13" ht="15.75" customHeight="1">
      <c r="A95" s="46"/>
      <c r="B95" s="47"/>
      <c r="C95" s="39"/>
      <c r="D95" s="48"/>
      <c r="E95" s="41"/>
      <c r="F95" s="36"/>
      <c r="G95" s="36"/>
      <c r="H95" s="45"/>
      <c r="I95" s="36"/>
      <c r="J95" s="44"/>
      <c r="K95" s="36"/>
      <c r="L95" s="36"/>
      <c r="M95" s="36"/>
    </row>
    <row r="96" spans="1:13" ht="15.75" customHeight="1">
      <c r="A96" s="46"/>
      <c r="B96" s="47"/>
      <c r="C96" s="39"/>
      <c r="D96" s="48"/>
      <c r="E96" s="41"/>
      <c r="F96" s="36"/>
      <c r="G96" s="36"/>
      <c r="H96" s="45"/>
      <c r="I96" s="36"/>
      <c r="J96" s="44"/>
      <c r="K96" s="36"/>
      <c r="L96" s="36"/>
      <c r="M96" s="36"/>
    </row>
    <row r="97" spans="1:13" ht="15.75" customHeight="1">
      <c r="A97" s="46"/>
      <c r="B97" s="47"/>
      <c r="C97" s="39"/>
      <c r="D97" s="48"/>
      <c r="E97" s="41"/>
      <c r="F97" s="36"/>
      <c r="G97" s="36"/>
      <c r="H97" s="45"/>
      <c r="I97" s="36"/>
      <c r="J97" s="44"/>
      <c r="K97" s="36"/>
      <c r="L97" s="36"/>
      <c r="M97" s="36"/>
    </row>
    <row r="98" spans="1:13" ht="15.75" customHeight="1">
      <c r="A98" s="46"/>
      <c r="B98" s="47"/>
      <c r="C98" s="39"/>
      <c r="D98" s="48"/>
      <c r="E98" s="41"/>
      <c r="F98" s="36"/>
      <c r="G98" s="36"/>
      <c r="H98" s="45"/>
      <c r="I98" s="36"/>
      <c r="J98" s="44"/>
      <c r="K98" s="36"/>
      <c r="L98" s="36"/>
      <c r="M98" s="36"/>
    </row>
    <row r="99" spans="1:13" ht="15.75" customHeight="1">
      <c r="A99" s="46"/>
      <c r="B99" s="47"/>
      <c r="C99" s="39"/>
      <c r="D99" s="48"/>
      <c r="E99" s="41"/>
      <c r="F99" s="36"/>
      <c r="G99" s="36"/>
      <c r="H99" s="45"/>
      <c r="I99" s="36"/>
      <c r="J99" s="44"/>
      <c r="K99" s="36"/>
      <c r="L99" s="36"/>
      <c r="M99" s="36"/>
    </row>
    <row r="100" spans="1:13" ht="15.75" customHeight="1">
      <c r="A100" s="46"/>
      <c r="B100" s="47"/>
      <c r="C100" s="39"/>
      <c r="D100" s="48"/>
      <c r="E100" s="41"/>
      <c r="F100" s="36"/>
      <c r="G100" s="36"/>
      <c r="H100" s="45"/>
      <c r="I100" s="36"/>
      <c r="J100" s="44"/>
      <c r="K100" s="36"/>
      <c r="L100" s="36"/>
      <c r="M100" s="36"/>
    </row>
    <row r="101" spans="1:13" ht="15.75" customHeight="1">
      <c r="A101" s="46"/>
      <c r="B101" s="47"/>
      <c r="C101" s="39"/>
      <c r="D101" s="48"/>
      <c r="E101" s="41"/>
      <c r="F101" s="36"/>
      <c r="G101" s="36"/>
      <c r="H101" s="45"/>
      <c r="I101" s="36"/>
      <c r="J101" s="44"/>
      <c r="K101" s="36"/>
      <c r="L101" s="36"/>
      <c r="M101" s="36"/>
    </row>
    <row r="102" spans="1:13" ht="15.75" customHeight="1">
      <c r="A102" s="46"/>
      <c r="B102" s="47"/>
      <c r="C102" s="39"/>
      <c r="D102" s="48"/>
      <c r="E102" s="41"/>
      <c r="F102" s="36"/>
      <c r="G102" s="36"/>
      <c r="H102" s="45"/>
      <c r="I102" s="36"/>
      <c r="J102" s="44"/>
      <c r="K102" s="36"/>
      <c r="L102" s="36"/>
      <c r="M102" s="36"/>
    </row>
    <row r="103" spans="1:13" ht="15.75" customHeight="1">
      <c r="A103" s="46"/>
      <c r="B103" s="47"/>
      <c r="C103" s="39"/>
      <c r="D103" s="48"/>
      <c r="E103" s="41"/>
      <c r="F103" s="36"/>
      <c r="G103" s="36"/>
      <c r="H103" s="45"/>
      <c r="I103" s="36"/>
      <c r="J103" s="44"/>
      <c r="K103" s="36"/>
      <c r="L103" s="36"/>
      <c r="M103" s="36"/>
    </row>
    <row r="104" spans="1:13" ht="15.75" customHeight="1">
      <c r="A104" s="46"/>
      <c r="B104" s="47"/>
      <c r="C104" s="39"/>
      <c r="D104" s="48"/>
      <c r="E104" s="41"/>
      <c r="F104" s="36"/>
      <c r="G104" s="36"/>
      <c r="H104" s="45"/>
      <c r="I104" s="36"/>
      <c r="J104" s="44"/>
      <c r="K104" s="36"/>
      <c r="L104" s="36"/>
      <c r="M104" s="36"/>
    </row>
    <row r="105" spans="1:13" ht="15.75" customHeight="1">
      <c r="A105" s="46"/>
      <c r="B105" s="47"/>
      <c r="C105" s="39"/>
      <c r="D105" s="48"/>
      <c r="E105" s="41"/>
      <c r="F105" s="36"/>
      <c r="G105" s="36"/>
      <c r="H105" s="45"/>
      <c r="I105" s="36"/>
      <c r="J105" s="44"/>
      <c r="K105" s="36"/>
      <c r="L105" s="36"/>
      <c r="M105" s="36"/>
    </row>
    <row r="106" spans="1:13" ht="15.75" customHeight="1">
      <c r="A106" s="46"/>
      <c r="B106" s="47"/>
      <c r="C106" s="39"/>
      <c r="D106" s="48"/>
      <c r="E106" s="41"/>
      <c r="F106" s="36"/>
      <c r="G106" s="36"/>
      <c r="H106" s="45"/>
      <c r="I106" s="36"/>
      <c r="J106" s="44"/>
      <c r="K106" s="36"/>
      <c r="L106" s="36"/>
      <c r="M106" s="36"/>
    </row>
    <row r="107" spans="1:13" ht="15.75" customHeight="1">
      <c r="A107" s="46"/>
      <c r="B107" s="47"/>
      <c r="C107" s="39"/>
      <c r="D107" s="48"/>
      <c r="E107" s="41"/>
      <c r="F107" s="36"/>
      <c r="G107" s="36"/>
      <c r="H107" s="45"/>
      <c r="I107" s="36"/>
      <c r="J107" s="44"/>
      <c r="K107" s="36"/>
      <c r="L107" s="36"/>
      <c r="M107" s="36"/>
    </row>
    <row r="108" spans="1:13" ht="15.75" customHeight="1">
      <c r="A108" s="46"/>
      <c r="B108" s="47"/>
      <c r="C108" s="39"/>
      <c r="D108" s="48"/>
      <c r="E108" s="41"/>
      <c r="F108" s="36"/>
      <c r="G108" s="36"/>
      <c r="H108" s="45"/>
      <c r="I108" s="36"/>
      <c r="J108" s="44"/>
      <c r="K108" s="36"/>
      <c r="L108" s="36"/>
      <c r="M108" s="36"/>
    </row>
    <row r="109" spans="1:13" ht="15.75" customHeight="1">
      <c r="A109" s="46"/>
      <c r="B109" s="47"/>
      <c r="C109" s="39"/>
      <c r="D109" s="48"/>
      <c r="E109" s="41"/>
      <c r="F109" s="36"/>
      <c r="G109" s="36"/>
      <c r="H109" s="45"/>
      <c r="I109" s="36"/>
      <c r="J109" s="44"/>
      <c r="K109" s="36"/>
      <c r="L109" s="36"/>
      <c r="M109" s="36"/>
    </row>
    <row r="110" spans="1:13" ht="15.75" customHeight="1">
      <c r="A110" s="46"/>
      <c r="B110" s="47"/>
      <c r="C110" s="39"/>
      <c r="D110" s="48"/>
      <c r="E110" s="41"/>
      <c r="F110" s="36"/>
      <c r="G110" s="36"/>
      <c r="H110" s="45"/>
      <c r="I110" s="36"/>
      <c r="J110" s="44"/>
      <c r="K110" s="36"/>
      <c r="L110" s="36"/>
      <c r="M110" s="36"/>
    </row>
    <row r="111" spans="1:13" ht="15.75" customHeight="1">
      <c r="A111" s="46"/>
      <c r="B111" s="47"/>
      <c r="C111" s="39"/>
      <c r="D111" s="48"/>
      <c r="E111" s="41"/>
      <c r="F111" s="36"/>
      <c r="G111" s="36"/>
      <c r="H111" s="45"/>
      <c r="I111" s="36"/>
      <c r="J111" s="44"/>
      <c r="K111" s="36"/>
      <c r="L111" s="36"/>
      <c r="M111" s="36"/>
    </row>
    <row r="112" spans="1:13" ht="15.75" customHeight="1">
      <c r="A112" s="46"/>
      <c r="B112" s="47"/>
      <c r="C112" s="39"/>
      <c r="D112" s="48"/>
      <c r="E112" s="41"/>
      <c r="F112" s="36"/>
      <c r="G112" s="36"/>
      <c r="H112" s="45"/>
      <c r="I112" s="36"/>
      <c r="J112" s="44"/>
      <c r="K112" s="36"/>
      <c r="L112" s="36"/>
      <c r="M112" s="36"/>
    </row>
    <row r="113" spans="1:13" ht="15.75" customHeight="1">
      <c r="A113" s="46"/>
      <c r="B113" s="47"/>
      <c r="C113" s="39"/>
      <c r="D113" s="48"/>
      <c r="E113" s="41"/>
      <c r="F113" s="36"/>
      <c r="G113" s="36"/>
      <c r="H113" s="45"/>
      <c r="I113" s="36"/>
      <c r="J113" s="44"/>
      <c r="K113" s="36"/>
      <c r="L113" s="36"/>
      <c r="M113" s="36"/>
    </row>
    <row r="114" spans="1:13" ht="15.75" customHeight="1">
      <c r="A114" s="46"/>
      <c r="B114" s="47"/>
      <c r="C114" s="39"/>
      <c r="D114" s="48"/>
      <c r="E114" s="41"/>
      <c r="F114" s="36"/>
      <c r="G114" s="36"/>
      <c r="H114" s="45"/>
      <c r="I114" s="36"/>
      <c r="J114" s="44"/>
      <c r="K114" s="36"/>
      <c r="L114" s="36"/>
      <c r="M114" s="36"/>
    </row>
    <row r="115" spans="1:13" ht="15.75" customHeight="1">
      <c r="A115" s="46"/>
      <c r="B115" s="47"/>
      <c r="C115" s="39"/>
      <c r="D115" s="48"/>
      <c r="E115" s="41"/>
      <c r="F115" s="36"/>
      <c r="G115" s="36"/>
      <c r="H115" s="45"/>
      <c r="I115" s="36"/>
      <c r="J115" s="44"/>
      <c r="K115" s="36"/>
      <c r="L115" s="36"/>
      <c r="M115" s="36"/>
    </row>
    <row r="116" spans="1:13" ht="15.75" customHeight="1">
      <c r="A116" s="46"/>
      <c r="B116" s="47"/>
      <c r="C116" s="39"/>
      <c r="D116" s="48"/>
      <c r="E116" s="41"/>
      <c r="F116" s="36"/>
      <c r="G116" s="36"/>
      <c r="H116" s="45"/>
      <c r="I116" s="36"/>
      <c r="J116" s="44"/>
      <c r="K116" s="36"/>
      <c r="L116" s="36"/>
      <c r="M116" s="36"/>
    </row>
    <row r="117" spans="1:13" ht="15.75" customHeight="1">
      <c r="A117" s="46"/>
      <c r="B117" s="47"/>
      <c r="C117" s="39"/>
      <c r="D117" s="48"/>
      <c r="E117" s="41"/>
      <c r="F117" s="36"/>
      <c r="G117" s="36"/>
      <c r="H117" s="45"/>
      <c r="I117" s="36"/>
      <c r="J117" s="44"/>
      <c r="K117" s="36"/>
      <c r="L117" s="36"/>
      <c r="M117" s="36"/>
    </row>
    <row r="118" spans="1:13" ht="15.75" customHeight="1">
      <c r="A118" s="46"/>
      <c r="B118" s="47"/>
      <c r="C118" s="39"/>
      <c r="D118" s="48"/>
      <c r="E118" s="41"/>
      <c r="F118" s="36"/>
      <c r="G118" s="36"/>
      <c r="H118" s="45"/>
      <c r="I118" s="36"/>
      <c r="J118" s="44"/>
      <c r="K118" s="36"/>
      <c r="L118" s="36"/>
      <c r="M118" s="36"/>
    </row>
    <row r="119" spans="1:13" ht="15.75" customHeight="1">
      <c r="A119" s="46"/>
      <c r="B119" s="47"/>
      <c r="C119" s="39"/>
      <c r="D119" s="48"/>
      <c r="E119" s="41"/>
      <c r="F119" s="36"/>
      <c r="G119" s="36"/>
      <c r="H119" s="45"/>
      <c r="I119" s="36"/>
      <c r="J119" s="44"/>
      <c r="K119" s="36"/>
      <c r="L119" s="36"/>
      <c r="M119" s="36"/>
    </row>
    <row r="120" spans="1:13" ht="15.75" customHeight="1">
      <c r="A120" s="46"/>
      <c r="B120" s="47"/>
      <c r="C120" s="39"/>
      <c r="D120" s="48"/>
      <c r="E120" s="41"/>
      <c r="F120" s="36"/>
      <c r="G120" s="36"/>
      <c r="H120" s="45"/>
      <c r="I120" s="36"/>
      <c r="J120" s="44"/>
      <c r="K120" s="36"/>
      <c r="L120" s="36"/>
      <c r="M120" s="36"/>
    </row>
    <row r="121" spans="1:13" ht="15.75" customHeight="1">
      <c r="A121" s="46"/>
      <c r="B121" s="47"/>
      <c r="C121" s="39"/>
      <c r="D121" s="48"/>
      <c r="E121" s="41"/>
      <c r="F121" s="36"/>
      <c r="G121" s="36"/>
      <c r="H121" s="45"/>
      <c r="I121" s="36"/>
      <c r="J121" s="44"/>
      <c r="K121" s="36"/>
      <c r="L121" s="36"/>
      <c r="M121" s="36"/>
    </row>
    <row r="122" spans="1:13" ht="15.75" customHeight="1">
      <c r="A122" s="46"/>
      <c r="B122" s="47"/>
      <c r="C122" s="39"/>
      <c r="D122" s="48"/>
      <c r="E122" s="41"/>
      <c r="F122" s="36"/>
      <c r="G122" s="36"/>
      <c r="H122" s="45"/>
      <c r="I122" s="36"/>
      <c r="J122" s="44"/>
      <c r="K122" s="36"/>
      <c r="L122" s="36"/>
      <c r="M122" s="36"/>
    </row>
    <row r="123" spans="1:13" ht="15.75" customHeight="1">
      <c r="A123" s="46"/>
      <c r="B123" s="47"/>
      <c r="C123" s="39"/>
      <c r="D123" s="48"/>
      <c r="E123" s="41"/>
      <c r="F123" s="37"/>
      <c r="G123" s="46"/>
      <c r="H123" s="45"/>
      <c r="I123" s="49"/>
      <c r="J123" s="8"/>
      <c r="K123" s="49"/>
      <c r="L123" s="49"/>
      <c r="M123" s="50"/>
    </row>
    <row r="124" spans="1:13" ht="15.75" customHeight="1">
      <c r="A124" s="46"/>
      <c r="B124" s="47"/>
      <c r="C124" s="39"/>
      <c r="D124" s="48"/>
      <c r="E124" s="41"/>
      <c r="F124" s="37"/>
      <c r="G124" s="46"/>
      <c r="H124" s="45"/>
      <c r="I124" s="49"/>
      <c r="J124" s="8"/>
      <c r="K124" s="49"/>
      <c r="L124" s="49"/>
      <c r="M124" s="50"/>
    </row>
    <row r="125" spans="1:13" ht="15.75" customHeight="1">
      <c r="A125" s="46"/>
      <c r="B125" s="47"/>
      <c r="C125" s="39"/>
      <c r="D125" s="48"/>
      <c r="E125" s="41"/>
      <c r="F125" s="37"/>
      <c r="G125" s="46"/>
      <c r="H125" s="45"/>
      <c r="I125" s="49"/>
      <c r="J125" s="8"/>
      <c r="K125" s="49"/>
      <c r="L125" s="49"/>
      <c r="M125" s="50"/>
    </row>
    <row r="126" spans="1:13" ht="15.75" customHeight="1">
      <c r="A126" s="46"/>
      <c r="B126" s="47"/>
      <c r="C126" s="39"/>
      <c r="D126" s="48"/>
      <c r="E126" s="41"/>
      <c r="F126" s="37"/>
      <c r="G126" s="46"/>
      <c r="H126" s="45"/>
      <c r="I126" s="49"/>
      <c r="J126" s="8"/>
      <c r="K126" s="49"/>
      <c r="L126" s="49"/>
      <c r="M126" s="50"/>
    </row>
    <row r="127" spans="1:13" ht="15.75" customHeight="1">
      <c r="A127" s="46"/>
      <c r="B127" s="47"/>
      <c r="C127" s="39"/>
      <c r="D127" s="48"/>
      <c r="E127" s="41"/>
      <c r="F127" s="37"/>
      <c r="G127" s="46"/>
      <c r="H127" s="45"/>
      <c r="I127" s="49"/>
      <c r="J127" s="8"/>
      <c r="K127" s="49"/>
      <c r="L127" s="49"/>
      <c r="M127" s="50"/>
    </row>
    <row r="128" spans="1:13" ht="15.75" customHeight="1">
      <c r="A128" s="46"/>
      <c r="B128" s="47"/>
      <c r="C128" s="39"/>
      <c r="D128" s="48"/>
      <c r="E128" s="41"/>
      <c r="F128" s="37"/>
      <c r="G128" s="46"/>
      <c r="H128" s="45"/>
      <c r="I128" s="49"/>
      <c r="J128" s="8"/>
      <c r="K128" s="49"/>
      <c r="L128" s="49"/>
      <c r="M128" s="50"/>
    </row>
    <row r="129" spans="1:13" ht="15.75" customHeight="1">
      <c r="A129" s="46"/>
      <c r="B129" s="47"/>
      <c r="C129" s="39"/>
      <c r="D129" s="48"/>
      <c r="E129" s="41"/>
      <c r="F129" s="37"/>
      <c r="G129" s="46"/>
      <c r="H129" s="45"/>
      <c r="I129" s="49"/>
      <c r="J129" s="8"/>
      <c r="K129" s="49"/>
      <c r="L129" s="49"/>
      <c r="M129" s="50"/>
    </row>
    <row r="130" spans="1:13" ht="15.75" customHeight="1">
      <c r="A130" s="46"/>
      <c r="B130" s="47"/>
      <c r="C130" s="39"/>
      <c r="D130" s="48"/>
      <c r="E130" s="41"/>
      <c r="F130" s="37"/>
      <c r="G130" s="46"/>
      <c r="H130" s="45"/>
      <c r="I130" s="49"/>
      <c r="J130" s="8"/>
      <c r="K130" s="49"/>
      <c r="L130" s="49"/>
      <c r="M130" s="50"/>
    </row>
    <row r="131" spans="1:13" ht="15.75" customHeight="1">
      <c r="A131" s="51"/>
      <c r="B131" s="51"/>
      <c r="C131" s="52"/>
      <c r="D131" s="53"/>
      <c r="E131" s="35"/>
      <c r="F131" s="54"/>
      <c r="G131" s="51"/>
      <c r="H131" s="6"/>
      <c r="J131" s="8"/>
      <c r="M131" s="55"/>
    </row>
    <row r="132" spans="1:13" ht="15.75" customHeight="1">
      <c r="A132" s="51"/>
      <c r="B132" s="51"/>
      <c r="C132" s="52"/>
      <c r="D132" s="53"/>
      <c r="E132" s="35"/>
      <c r="F132" s="54"/>
      <c r="G132" s="51"/>
      <c r="H132" s="6"/>
      <c r="J132" s="8"/>
      <c r="M132" s="55"/>
    </row>
    <row r="133" spans="1:13" ht="15.75" customHeight="1">
      <c r="A133" s="51"/>
      <c r="B133" s="51"/>
      <c r="C133" s="52"/>
      <c r="D133" s="53"/>
      <c r="E133" s="35"/>
      <c r="F133" s="54"/>
      <c r="G133" s="51"/>
      <c r="H133" s="6"/>
      <c r="J133" s="8"/>
      <c r="M133" s="55"/>
    </row>
    <row r="134" spans="1:13" ht="15.75" customHeight="1">
      <c r="A134" s="51"/>
      <c r="B134" s="51"/>
      <c r="C134" s="52"/>
      <c r="D134" s="53"/>
      <c r="E134" s="35"/>
      <c r="F134" s="54"/>
      <c r="G134" s="51"/>
      <c r="H134" s="6"/>
      <c r="J134" s="8"/>
      <c r="M134" s="55"/>
    </row>
    <row r="135" spans="1:13" ht="15.75" customHeight="1">
      <c r="A135" s="51"/>
      <c r="B135" s="51"/>
      <c r="C135" s="52"/>
      <c r="D135" s="53"/>
      <c r="E135" s="35"/>
      <c r="F135" s="54"/>
      <c r="G135" s="51"/>
      <c r="H135" s="6"/>
      <c r="J135" s="8"/>
      <c r="M135" s="55"/>
    </row>
    <row r="136" spans="1:13" ht="15.75" customHeight="1">
      <c r="A136" s="51"/>
      <c r="B136" s="51"/>
      <c r="C136" s="52"/>
      <c r="D136" s="53"/>
      <c r="E136" s="35"/>
      <c r="F136" s="54"/>
      <c r="G136" s="51"/>
      <c r="H136" s="6"/>
      <c r="J136" s="8"/>
      <c r="M136" s="55"/>
    </row>
    <row r="137" spans="1:13" ht="15.75" customHeight="1">
      <c r="A137" s="51"/>
      <c r="B137" s="51"/>
      <c r="C137" s="52"/>
      <c r="D137" s="53"/>
      <c r="E137" s="35"/>
      <c r="F137" s="54"/>
      <c r="G137" s="51"/>
      <c r="H137" s="6"/>
      <c r="J137" s="8"/>
      <c r="M137" s="55"/>
    </row>
    <row r="138" spans="1:13" ht="15.75" customHeight="1">
      <c r="A138" s="51"/>
      <c r="B138" s="51"/>
      <c r="C138" s="52"/>
      <c r="D138" s="53"/>
      <c r="E138" s="35"/>
      <c r="F138" s="54"/>
      <c r="G138" s="51"/>
      <c r="H138" s="6"/>
      <c r="J138" s="8"/>
      <c r="M138" s="55"/>
    </row>
    <row r="139" spans="1:13" ht="15.75" customHeight="1">
      <c r="A139" s="51"/>
      <c r="B139" s="51"/>
      <c r="C139" s="52"/>
      <c r="D139" s="53"/>
      <c r="E139" s="35"/>
      <c r="F139" s="54"/>
      <c r="G139" s="51"/>
      <c r="H139" s="6"/>
      <c r="J139" s="8"/>
      <c r="M139" s="55"/>
    </row>
    <row r="140" spans="1:13" ht="15.75" customHeight="1">
      <c r="A140" s="51"/>
      <c r="B140" s="51"/>
      <c r="C140" s="52"/>
      <c r="D140" s="53"/>
      <c r="E140" s="35"/>
      <c r="F140" s="54"/>
      <c r="G140" s="51"/>
      <c r="H140" s="6"/>
      <c r="J140" s="8"/>
      <c r="M140" s="55"/>
    </row>
    <row r="141" spans="1:13" ht="15.75" customHeight="1">
      <c r="A141" s="51"/>
      <c r="B141" s="51"/>
      <c r="C141" s="52"/>
      <c r="D141" s="53"/>
      <c r="E141" s="35"/>
      <c r="F141" s="54"/>
      <c r="G141" s="51"/>
      <c r="H141" s="6"/>
      <c r="J141" s="8"/>
      <c r="M141" s="55"/>
    </row>
    <row r="142" spans="1:13" ht="15.75" customHeight="1">
      <c r="A142" s="51"/>
      <c r="B142" s="51"/>
      <c r="C142" s="52"/>
      <c r="D142" s="53"/>
      <c r="E142" s="35"/>
      <c r="F142" s="54"/>
      <c r="G142" s="51"/>
      <c r="H142" s="6"/>
      <c r="J142" s="8"/>
      <c r="M142" s="55"/>
    </row>
    <row r="143" spans="1:13" ht="15.75" customHeight="1">
      <c r="A143" s="51"/>
      <c r="B143" s="51"/>
      <c r="C143" s="52"/>
      <c r="D143" s="53"/>
      <c r="E143" s="35"/>
      <c r="F143" s="54"/>
      <c r="G143" s="51"/>
      <c r="H143" s="6"/>
      <c r="J143" s="8"/>
      <c r="M143" s="55"/>
    </row>
    <row r="144" spans="1:13" ht="15.75" customHeight="1">
      <c r="A144" s="51"/>
      <c r="B144" s="51"/>
      <c r="C144" s="52"/>
      <c r="D144" s="53"/>
      <c r="E144" s="35"/>
      <c r="F144" s="54"/>
      <c r="G144" s="51"/>
      <c r="H144" s="6"/>
      <c r="J144" s="8"/>
      <c r="M144" s="55"/>
    </row>
    <row r="145" spans="1:13" ht="15.75" customHeight="1">
      <c r="A145" s="51"/>
      <c r="B145" s="51"/>
      <c r="C145" s="52"/>
      <c r="D145" s="53"/>
      <c r="E145" s="35"/>
      <c r="F145" s="54"/>
      <c r="G145" s="51"/>
      <c r="H145" s="6"/>
      <c r="J145" s="8"/>
      <c r="M145" s="55"/>
    </row>
    <row r="146" spans="1:13" ht="15.75" customHeight="1">
      <c r="A146" s="51"/>
      <c r="B146" s="51"/>
      <c r="C146" s="52"/>
      <c r="D146" s="53"/>
      <c r="E146" s="35"/>
      <c r="F146" s="54"/>
      <c r="G146" s="51"/>
      <c r="H146" s="6"/>
      <c r="J146" s="8"/>
      <c r="M146" s="55"/>
    </row>
    <row r="147" spans="1:13" ht="15.75" customHeight="1">
      <c r="A147" s="51"/>
      <c r="B147" s="51"/>
      <c r="C147" s="52"/>
      <c r="D147" s="53"/>
      <c r="E147" s="35"/>
      <c r="F147" s="54"/>
      <c r="G147" s="51"/>
      <c r="H147" s="6"/>
      <c r="J147" s="8"/>
      <c r="M147" s="55"/>
    </row>
    <row r="148" spans="1:13" ht="15.75" customHeight="1">
      <c r="A148" s="51"/>
      <c r="B148" s="51"/>
      <c r="C148" s="52"/>
      <c r="D148" s="53"/>
      <c r="E148" s="35"/>
      <c r="F148" s="54"/>
      <c r="G148" s="51"/>
      <c r="H148" s="6"/>
      <c r="J148" s="8"/>
      <c r="M148" s="55"/>
    </row>
    <row r="149" spans="1:13" ht="15.75" customHeight="1">
      <c r="A149" s="51"/>
      <c r="B149" s="51"/>
      <c r="C149" s="52"/>
      <c r="D149" s="53"/>
      <c r="E149" s="35"/>
      <c r="F149" s="54"/>
      <c r="G149" s="51"/>
      <c r="H149" s="6"/>
      <c r="J149" s="8"/>
      <c r="M149" s="55"/>
    </row>
    <row r="150" spans="1:13" ht="15.75" customHeight="1">
      <c r="A150" s="51"/>
      <c r="B150" s="51"/>
      <c r="C150" s="52"/>
      <c r="D150" s="53"/>
      <c r="E150" s="35"/>
      <c r="F150" s="54"/>
      <c r="G150" s="51"/>
      <c r="H150" s="6"/>
      <c r="J150" s="8"/>
      <c r="M150" s="55"/>
    </row>
    <row r="151" spans="1:13" ht="15.75" customHeight="1">
      <c r="A151" s="51"/>
      <c r="B151" s="51"/>
      <c r="C151" s="52"/>
      <c r="D151" s="53"/>
      <c r="E151" s="35"/>
      <c r="F151" s="54"/>
      <c r="G151" s="51"/>
      <c r="H151" s="6"/>
      <c r="J151" s="8"/>
      <c r="M151" s="55"/>
    </row>
    <row r="152" spans="1:13" ht="15.75" customHeight="1">
      <c r="A152" s="51"/>
      <c r="B152" s="51"/>
      <c r="C152" s="52"/>
      <c r="D152" s="53"/>
      <c r="E152" s="35"/>
      <c r="F152" s="54"/>
      <c r="G152" s="51"/>
      <c r="H152" s="6"/>
      <c r="J152" s="8"/>
      <c r="M152" s="55"/>
    </row>
    <row r="153" spans="1:13" ht="15.75" customHeight="1">
      <c r="A153" s="51"/>
      <c r="B153" s="51"/>
      <c r="C153" s="52"/>
      <c r="D153" s="53"/>
      <c r="E153" s="35"/>
      <c r="F153" s="54"/>
      <c r="G153" s="51"/>
      <c r="H153" s="6"/>
      <c r="J153" s="8"/>
      <c r="M153" s="55"/>
    </row>
    <row r="154" spans="1:13" ht="15.75" customHeight="1">
      <c r="A154" s="51"/>
      <c r="B154" s="51"/>
      <c r="C154" s="52"/>
      <c r="D154" s="53"/>
      <c r="E154" s="35"/>
      <c r="F154" s="54"/>
      <c r="G154" s="51"/>
      <c r="H154" s="6"/>
      <c r="J154" s="8"/>
      <c r="M154" s="55"/>
    </row>
    <row r="155" spans="1:13" ht="15.75" customHeight="1">
      <c r="A155" s="51"/>
      <c r="B155" s="51"/>
      <c r="C155" s="52"/>
      <c r="D155" s="53"/>
      <c r="E155" s="35"/>
      <c r="F155" s="54"/>
      <c r="G155" s="51"/>
      <c r="H155" s="6"/>
      <c r="J155" s="8"/>
      <c r="M155" s="55"/>
    </row>
    <row r="156" spans="1:13" ht="15.75" customHeight="1">
      <c r="A156" s="51"/>
      <c r="B156" s="51"/>
      <c r="C156" s="52"/>
      <c r="D156" s="53"/>
      <c r="E156" s="35"/>
      <c r="F156" s="54"/>
      <c r="G156" s="51"/>
      <c r="H156" s="6"/>
      <c r="J156" s="8"/>
      <c r="M156" s="55"/>
    </row>
    <row r="157" spans="1:13" ht="15.75" customHeight="1">
      <c r="A157" s="51"/>
      <c r="B157" s="51"/>
      <c r="C157" s="52"/>
      <c r="D157" s="53"/>
      <c r="E157" s="35"/>
      <c r="F157" s="54"/>
      <c r="G157" s="51"/>
      <c r="H157" s="6"/>
      <c r="J157" s="8"/>
      <c r="M157" s="55"/>
    </row>
    <row r="158" spans="1:13" ht="15.75" customHeight="1">
      <c r="A158" s="51"/>
      <c r="B158" s="51"/>
      <c r="C158" s="52"/>
      <c r="D158" s="53"/>
      <c r="E158" s="35"/>
      <c r="F158" s="54"/>
      <c r="G158" s="51"/>
      <c r="H158" s="6"/>
      <c r="J158" s="8"/>
      <c r="M158" s="55"/>
    </row>
    <row r="159" spans="1:13" ht="15.75" customHeight="1">
      <c r="A159" s="51"/>
      <c r="B159" s="51"/>
      <c r="C159" s="52"/>
      <c r="D159" s="53"/>
      <c r="E159" s="35"/>
      <c r="F159" s="54"/>
      <c r="G159" s="51"/>
      <c r="H159" s="6"/>
      <c r="J159" s="8"/>
      <c r="M159" s="55"/>
    </row>
    <row r="160" spans="1:13" ht="15.75" customHeight="1">
      <c r="A160" s="51"/>
      <c r="B160" s="51"/>
      <c r="C160" s="52"/>
      <c r="D160" s="53"/>
      <c r="E160" s="35"/>
      <c r="F160" s="54"/>
      <c r="G160" s="51"/>
      <c r="H160" s="6"/>
      <c r="J160" s="8"/>
      <c r="M160" s="55"/>
    </row>
    <row r="161" spans="1:13" ht="15.75" customHeight="1">
      <c r="A161" s="51"/>
      <c r="B161" s="51"/>
      <c r="C161" s="52"/>
      <c r="D161" s="53"/>
      <c r="E161" s="35"/>
      <c r="F161" s="54"/>
      <c r="G161" s="51"/>
      <c r="H161" s="6"/>
      <c r="J161" s="8"/>
      <c r="M161" s="55"/>
    </row>
    <row r="162" spans="1:13" ht="15.75" customHeight="1">
      <c r="A162" s="51"/>
      <c r="B162" s="51"/>
      <c r="C162" s="52"/>
      <c r="D162" s="53"/>
      <c r="E162" s="35"/>
      <c r="F162" s="54"/>
      <c r="G162" s="51"/>
      <c r="H162" s="6"/>
      <c r="J162" s="8"/>
      <c r="M162" s="55"/>
    </row>
    <row r="163" spans="1:13" ht="15.75" customHeight="1">
      <c r="A163" s="51"/>
      <c r="B163" s="51"/>
      <c r="C163" s="52"/>
      <c r="D163" s="53"/>
      <c r="E163" s="35"/>
      <c r="F163" s="54"/>
      <c r="G163" s="51"/>
      <c r="H163" s="6"/>
      <c r="J163" s="8"/>
      <c r="M163" s="55"/>
    </row>
    <row r="164" spans="1:13" ht="15.75" customHeight="1">
      <c r="A164" s="51"/>
      <c r="B164" s="51"/>
      <c r="C164" s="52"/>
      <c r="D164" s="53"/>
      <c r="E164" s="35"/>
      <c r="F164" s="54"/>
      <c r="G164" s="51"/>
      <c r="H164" s="6"/>
      <c r="J164" s="8"/>
      <c r="M164" s="55"/>
    </row>
    <row r="165" spans="1:13" ht="15.75" customHeight="1">
      <c r="A165" s="51"/>
      <c r="B165" s="51"/>
      <c r="C165" s="52"/>
      <c r="D165" s="53"/>
      <c r="E165" s="35"/>
      <c r="F165" s="54"/>
      <c r="G165" s="51"/>
      <c r="H165" s="6"/>
      <c r="J165" s="8"/>
      <c r="M165" s="55"/>
    </row>
    <row r="166" spans="1:13" ht="15.75" customHeight="1">
      <c r="A166" s="51"/>
      <c r="B166" s="51"/>
      <c r="C166" s="52"/>
      <c r="D166" s="53"/>
      <c r="E166" s="35"/>
      <c r="F166" s="54"/>
      <c r="G166" s="51"/>
      <c r="H166" s="6"/>
      <c r="J166" s="8"/>
      <c r="M166" s="55"/>
    </row>
    <row r="167" spans="1:13" ht="15.75" customHeight="1">
      <c r="A167" s="51"/>
      <c r="B167" s="51"/>
      <c r="C167" s="52"/>
      <c r="D167" s="53"/>
      <c r="E167" s="35"/>
      <c r="F167" s="54"/>
      <c r="G167" s="51"/>
      <c r="H167" s="6"/>
      <c r="J167" s="8"/>
      <c r="M167" s="55"/>
    </row>
    <row r="168" spans="1:13" ht="15.75" customHeight="1">
      <c r="A168" s="51"/>
      <c r="B168" s="51"/>
      <c r="C168" s="52"/>
      <c r="D168" s="53"/>
      <c r="E168" s="35"/>
      <c r="F168" s="54"/>
      <c r="G168" s="51"/>
      <c r="H168" s="6"/>
      <c r="J168" s="8"/>
      <c r="M168" s="55"/>
    </row>
    <row r="169" spans="1:13" ht="15.75" customHeight="1">
      <c r="A169" s="51"/>
      <c r="B169" s="51"/>
      <c r="C169" s="52"/>
      <c r="D169" s="53"/>
      <c r="E169" s="35"/>
      <c r="F169" s="54"/>
      <c r="G169" s="51"/>
      <c r="H169" s="6"/>
      <c r="J169" s="8"/>
      <c r="M169" s="55"/>
    </row>
    <row r="170" spans="1:13" ht="15.75" customHeight="1">
      <c r="A170" s="51"/>
      <c r="B170" s="51"/>
      <c r="C170" s="52"/>
      <c r="D170" s="53"/>
      <c r="E170" s="35"/>
      <c r="F170" s="54"/>
      <c r="G170" s="51"/>
      <c r="H170" s="6"/>
      <c r="J170" s="8"/>
      <c r="M170" s="55"/>
    </row>
    <row r="171" spans="1:13" ht="15.75" customHeight="1">
      <c r="A171" s="51"/>
      <c r="B171" s="51"/>
      <c r="C171" s="52"/>
      <c r="D171" s="53"/>
      <c r="E171" s="35"/>
      <c r="F171" s="54"/>
      <c r="G171" s="51"/>
      <c r="H171" s="6"/>
      <c r="J171" s="8"/>
      <c r="M171" s="55"/>
    </row>
    <row r="172" spans="1:13" ht="15.75" customHeight="1">
      <c r="A172" s="51"/>
      <c r="B172" s="51"/>
      <c r="C172" s="52"/>
      <c r="D172" s="53"/>
      <c r="E172" s="35"/>
      <c r="F172" s="54"/>
      <c r="G172" s="51"/>
      <c r="H172" s="6"/>
      <c r="J172" s="8"/>
      <c r="M172" s="55"/>
    </row>
    <row r="173" spans="1:13" ht="15.75" customHeight="1">
      <c r="A173" s="51"/>
      <c r="B173" s="51"/>
      <c r="C173" s="52"/>
      <c r="D173" s="53"/>
      <c r="E173" s="35"/>
      <c r="F173" s="54"/>
      <c r="G173" s="51"/>
      <c r="H173" s="6"/>
      <c r="J173" s="8"/>
      <c r="M173" s="55"/>
    </row>
    <row r="174" spans="1:13" ht="15.75" customHeight="1">
      <c r="A174" s="51"/>
      <c r="B174" s="51"/>
      <c r="C174" s="52"/>
      <c r="D174" s="53"/>
      <c r="E174" s="35"/>
      <c r="F174" s="54"/>
      <c r="G174" s="51"/>
      <c r="H174" s="6"/>
      <c r="J174" s="8"/>
      <c r="M174" s="55"/>
    </row>
    <row r="175" spans="1:13" ht="15.75" customHeight="1">
      <c r="A175" s="51"/>
      <c r="B175" s="51"/>
      <c r="C175" s="52"/>
      <c r="D175" s="53"/>
      <c r="E175" s="35"/>
      <c r="F175" s="54"/>
      <c r="G175" s="51"/>
      <c r="H175" s="6"/>
      <c r="J175" s="8"/>
      <c r="M175" s="55"/>
    </row>
    <row r="176" spans="1:13" ht="15.75" customHeight="1">
      <c r="A176" s="51"/>
      <c r="B176" s="51"/>
      <c r="C176" s="52"/>
      <c r="D176" s="53"/>
      <c r="E176" s="35"/>
      <c r="F176" s="54"/>
      <c r="G176" s="51"/>
      <c r="H176" s="6"/>
      <c r="J176" s="8"/>
      <c r="M176" s="55"/>
    </row>
    <row r="177" spans="1:13" ht="15.75" customHeight="1">
      <c r="A177" s="51"/>
      <c r="B177" s="51"/>
      <c r="C177" s="52"/>
      <c r="D177" s="53"/>
      <c r="E177" s="35"/>
      <c r="F177" s="54"/>
      <c r="G177" s="51"/>
      <c r="H177" s="6"/>
      <c r="J177" s="8"/>
      <c r="M177" s="55"/>
    </row>
    <row r="178" spans="1:13" ht="15.75" customHeight="1">
      <c r="A178" s="51"/>
      <c r="B178" s="51"/>
      <c r="C178" s="52"/>
      <c r="D178" s="53"/>
      <c r="E178" s="35"/>
      <c r="F178" s="54"/>
      <c r="G178" s="51"/>
      <c r="H178" s="6"/>
      <c r="J178" s="8"/>
      <c r="M178" s="55"/>
    </row>
    <row r="179" spans="1:13" ht="15.75" customHeight="1">
      <c r="A179" s="51"/>
      <c r="B179" s="51"/>
      <c r="C179" s="52"/>
      <c r="D179" s="53"/>
      <c r="E179" s="35"/>
      <c r="F179" s="54"/>
      <c r="G179" s="51"/>
      <c r="H179" s="6"/>
      <c r="J179" s="8"/>
      <c r="M179" s="55"/>
    </row>
    <row r="180" spans="1:13" ht="15.75" customHeight="1">
      <c r="A180" s="51"/>
      <c r="B180" s="51"/>
      <c r="C180" s="52"/>
      <c r="D180" s="53"/>
      <c r="E180" s="35"/>
      <c r="F180" s="54"/>
      <c r="G180" s="51"/>
      <c r="H180" s="6"/>
      <c r="J180" s="8"/>
      <c r="M180" s="55"/>
    </row>
    <row r="181" spans="1:13" ht="15.75" customHeight="1">
      <c r="A181" s="51"/>
      <c r="B181" s="51"/>
      <c r="C181" s="52"/>
      <c r="D181" s="53"/>
      <c r="E181" s="35"/>
      <c r="F181" s="54"/>
      <c r="G181" s="51"/>
      <c r="H181" s="6"/>
      <c r="J181" s="8"/>
      <c r="M181" s="55"/>
    </row>
    <row r="182" spans="1:13" ht="15.75" customHeight="1">
      <c r="A182" s="51"/>
      <c r="B182" s="51"/>
      <c r="C182" s="52"/>
      <c r="D182" s="53"/>
      <c r="E182" s="35"/>
      <c r="F182" s="54"/>
      <c r="G182" s="51"/>
      <c r="H182" s="6"/>
      <c r="J182" s="8"/>
      <c r="M182" s="55"/>
    </row>
    <row r="183" spans="1:13" ht="15.75" customHeight="1">
      <c r="A183" s="51"/>
      <c r="B183" s="51"/>
      <c r="C183" s="52"/>
      <c r="D183" s="53"/>
      <c r="E183" s="35"/>
      <c r="F183" s="54"/>
      <c r="G183" s="51"/>
      <c r="H183" s="6"/>
      <c r="J183" s="8"/>
      <c r="M183" s="55"/>
    </row>
    <row r="184" spans="1:13" ht="15.75" customHeight="1">
      <c r="A184" s="51"/>
      <c r="B184" s="51"/>
      <c r="C184" s="52"/>
      <c r="D184" s="53"/>
      <c r="E184" s="35"/>
      <c r="F184" s="54"/>
      <c r="G184" s="51"/>
      <c r="H184" s="6"/>
      <c r="J184" s="8"/>
      <c r="M184" s="55"/>
    </row>
    <row r="185" spans="1:13" ht="15.75" customHeight="1">
      <c r="A185" s="51"/>
      <c r="B185" s="51"/>
      <c r="C185" s="52"/>
      <c r="D185" s="53"/>
      <c r="E185" s="35"/>
      <c r="F185" s="54"/>
      <c r="G185" s="51"/>
      <c r="H185" s="6"/>
      <c r="J185" s="8"/>
      <c r="M185" s="55"/>
    </row>
    <row r="186" spans="1:13" ht="15.75" customHeight="1">
      <c r="A186" s="51"/>
      <c r="B186" s="51"/>
      <c r="C186" s="52"/>
      <c r="D186" s="53"/>
      <c r="E186" s="35"/>
      <c r="F186" s="54"/>
      <c r="G186" s="51"/>
      <c r="H186" s="6"/>
      <c r="J186" s="8"/>
      <c r="M186" s="55"/>
    </row>
    <row r="187" spans="1:13" ht="15.75" customHeight="1">
      <c r="A187" s="51"/>
      <c r="B187" s="51"/>
      <c r="C187" s="52"/>
      <c r="D187" s="53"/>
      <c r="E187" s="35"/>
      <c r="F187" s="54"/>
      <c r="G187" s="51"/>
      <c r="H187" s="6"/>
      <c r="J187" s="8"/>
      <c r="M187" s="55"/>
    </row>
    <row r="188" spans="1:13" ht="15.75" customHeight="1">
      <c r="A188" s="51"/>
      <c r="B188" s="51"/>
      <c r="C188" s="52"/>
      <c r="D188" s="53"/>
      <c r="E188" s="35"/>
      <c r="F188" s="54"/>
      <c r="G188" s="51"/>
      <c r="H188" s="6"/>
      <c r="J188" s="8"/>
      <c r="M188" s="55"/>
    </row>
    <row r="189" spans="1:13" ht="15.75" customHeight="1">
      <c r="A189" s="51"/>
      <c r="B189" s="51"/>
      <c r="C189" s="52"/>
      <c r="D189" s="53"/>
      <c r="E189" s="35"/>
      <c r="F189" s="54"/>
      <c r="G189" s="51"/>
      <c r="H189" s="6"/>
      <c r="J189" s="8"/>
      <c r="M189" s="55"/>
    </row>
    <row r="190" spans="1:13" ht="15.75" customHeight="1">
      <c r="A190" s="51"/>
      <c r="B190" s="51"/>
      <c r="C190" s="52"/>
      <c r="D190" s="53"/>
      <c r="E190" s="35"/>
      <c r="F190" s="54"/>
      <c r="G190" s="51"/>
      <c r="H190" s="6"/>
      <c r="J190" s="8"/>
      <c r="M190" s="55"/>
    </row>
    <row r="191" spans="1:13" ht="15.75" customHeight="1">
      <c r="A191" s="51"/>
      <c r="B191" s="51"/>
      <c r="C191" s="52"/>
      <c r="D191" s="53"/>
      <c r="E191" s="35"/>
      <c r="F191" s="54"/>
      <c r="G191" s="51"/>
      <c r="H191" s="6"/>
      <c r="J191" s="8"/>
      <c r="M191" s="55"/>
    </row>
    <row r="192" spans="1:13" ht="15.75" customHeight="1">
      <c r="A192" s="51"/>
      <c r="B192" s="51"/>
      <c r="C192" s="52"/>
      <c r="D192" s="53"/>
      <c r="E192" s="35"/>
      <c r="F192" s="54"/>
      <c r="G192" s="51"/>
      <c r="H192" s="6"/>
      <c r="J192" s="8"/>
      <c r="M192" s="55"/>
    </row>
    <row r="193" spans="1:13" ht="15.75" customHeight="1">
      <c r="A193" s="51"/>
      <c r="B193" s="51"/>
      <c r="C193" s="52"/>
      <c r="D193" s="53"/>
      <c r="E193" s="35"/>
      <c r="F193" s="54"/>
      <c r="G193" s="51"/>
      <c r="H193" s="6"/>
      <c r="J193" s="8"/>
      <c r="M193" s="55"/>
    </row>
    <row r="194" spans="1:13" ht="15.75" customHeight="1">
      <c r="A194" s="51"/>
      <c r="B194" s="51"/>
      <c r="C194" s="52"/>
      <c r="D194" s="53"/>
      <c r="E194" s="35"/>
      <c r="F194" s="54"/>
      <c r="G194" s="51"/>
      <c r="H194" s="6"/>
      <c r="J194" s="8"/>
      <c r="M194" s="55"/>
    </row>
    <row r="195" spans="1:13" ht="15.75" customHeight="1">
      <c r="A195" s="51"/>
      <c r="B195" s="51"/>
      <c r="C195" s="52"/>
      <c r="D195" s="53"/>
      <c r="E195" s="35"/>
      <c r="F195" s="54"/>
      <c r="G195" s="51"/>
      <c r="H195" s="6"/>
      <c r="J195" s="8"/>
      <c r="M195" s="55"/>
    </row>
    <row r="196" spans="1:13" ht="15.75" customHeight="1">
      <c r="A196" s="51"/>
      <c r="B196" s="51"/>
      <c r="C196" s="52"/>
      <c r="D196" s="53"/>
      <c r="E196" s="35"/>
      <c r="F196" s="54"/>
      <c r="G196" s="51"/>
      <c r="H196" s="6"/>
      <c r="J196" s="8"/>
      <c r="M196" s="55"/>
    </row>
    <row r="197" spans="1:13" ht="15.75" customHeight="1">
      <c r="A197" s="51"/>
      <c r="B197" s="51"/>
      <c r="C197" s="52"/>
      <c r="D197" s="53"/>
      <c r="E197" s="35"/>
      <c r="F197" s="54"/>
      <c r="G197" s="51"/>
      <c r="H197" s="6"/>
      <c r="J197" s="8"/>
      <c r="M197" s="55"/>
    </row>
    <row r="198" spans="1:13" ht="15.75" customHeight="1">
      <c r="A198" s="51"/>
      <c r="B198" s="51"/>
      <c r="C198" s="52"/>
      <c r="D198" s="53"/>
      <c r="E198" s="35"/>
      <c r="F198" s="54"/>
      <c r="G198" s="51"/>
      <c r="H198" s="6"/>
      <c r="J198" s="8"/>
      <c r="M198" s="55"/>
    </row>
    <row r="199" spans="1:13" ht="15.75" customHeight="1">
      <c r="A199" s="51"/>
      <c r="B199" s="51"/>
      <c r="C199" s="52"/>
      <c r="D199" s="53"/>
      <c r="E199" s="35"/>
      <c r="F199" s="54"/>
      <c r="G199" s="51"/>
      <c r="H199" s="6"/>
      <c r="J199" s="8"/>
      <c r="M199" s="55"/>
    </row>
    <row r="200" spans="1:13" ht="15.75" customHeight="1">
      <c r="A200" s="51"/>
      <c r="B200" s="51"/>
      <c r="C200" s="52"/>
      <c r="D200" s="53"/>
      <c r="E200" s="35"/>
      <c r="F200" s="54"/>
      <c r="G200" s="51"/>
      <c r="H200" s="6"/>
      <c r="J200" s="8"/>
      <c r="M200" s="55"/>
    </row>
    <row r="201" spans="1:13" ht="15.75" customHeight="1">
      <c r="A201" s="51"/>
      <c r="B201" s="51"/>
      <c r="C201" s="52"/>
      <c r="D201" s="53"/>
      <c r="E201" s="35"/>
      <c r="F201" s="54"/>
      <c r="G201" s="51"/>
      <c r="H201" s="6"/>
      <c r="J201" s="8"/>
      <c r="M201" s="55"/>
    </row>
    <row r="202" spans="1:13" ht="15.75" customHeight="1">
      <c r="A202" s="51"/>
      <c r="B202" s="51"/>
      <c r="C202" s="52"/>
      <c r="D202" s="53"/>
      <c r="E202" s="35"/>
      <c r="F202" s="54"/>
      <c r="G202" s="51"/>
      <c r="H202" s="6"/>
      <c r="J202" s="8"/>
      <c r="M202" s="55"/>
    </row>
    <row r="203" spans="1:13" ht="15.75" customHeight="1">
      <c r="A203" s="51"/>
      <c r="B203" s="51"/>
      <c r="C203" s="52"/>
      <c r="D203" s="53"/>
      <c r="E203" s="35"/>
      <c r="F203" s="54"/>
      <c r="G203" s="51"/>
      <c r="H203" s="6"/>
      <c r="J203" s="8"/>
      <c r="M203" s="55"/>
    </row>
    <row r="204" spans="1:13" ht="15.75" customHeight="1">
      <c r="A204" s="51"/>
      <c r="B204" s="51"/>
      <c r="C204" s="52"/>
      <c r="D204" s="53"/>
      <c r="E204" s="35"/>
      <c r="F204" s="54"/>
      <c r="G204" s="51"/>
      <c r="H204" s="6"/>
      <c r="J204" s="8"/>
      <c r="M204" s="55"/>
    </row>
    <row r="205" spans="1:13" ht="15.75" customHeight="1">
      <c r="A205" s="51"/>
      <c r="B205" s="51"/>
      <c r="C205" s="52"/>
      <c r="D205" s="53"/>
      <c r="E205" s="35"/>
      <c r="F205" s="54"/>
      <c r="G205" s="51"/>
      <c r="H205" s="6"/>
      <c r="J205" s="8"/>
      <c r="M205" s="55"/>
    </row>
    <row r="206" spans="1:13" ht="15.75" customHeight="1">
      <c r="A206" s="51"/>
      <c r="B206" s="51"/>
      <c r="C206" s="52"/>
      <c r="D206" s="53"/>
      <c r="E206" s="35"/>
      <c r="F206" s="54"/>
      <c r="G206" s="51"/>
      <c r="H206" s="6"/>
      <c r="J206" s="8"/>
      <c r="M206" s="55"/>
    </row>
    <row r="207" spans="1:13" ht="15.75" customHeight="1">
      <c r="A207" s="51"/>
      <c r="B207" s="51"/>
      <c r="C207" s="52"/>
      <c r="D207" s="53"/>
      <c r="E207" s="35"/>
      <c r="F207" s="54"/>
      <c r="G207" s="51"/>
      <c r="H207" s="6"/>
      <c r="J207" s="8"/>
      <c r="M207" s="55"/>
    </row>
    <row r="208" spans="1:13" ht="15.75" customHeight="1">
      <c r="A208" s="51"/>
      <c r="B208" s="51"/>
      <c r="C208" s="52"/>
      <c r="D208" s="53"/>
      <c r="E208" s="35"/>
      <c r="F208" s="54"/>
      <c r="G208" s="51"/>
      <c r="H208" s="6"/>
      <c r="J208" s="8"/>
      <c r="M208" s="55"/>
    </row>
    <row r="209" spans="1:13" ht="15.75" customHeight="1">
      <c r="A209" s="51"/>
      <c r="B209" s="51"/>
      <c r="C209" s="52"/>
      <c r="D209" s="53"/>
      <c r="E209" s="35"/>
      <c r="F209" s="54"/>
      <c r="G209" s="51"/>
      <c r="H209" s="6"/>
      <c r="J209" s="8"/>
      <c r="M209" s="55"/>
    </row>
    <row r="210" spans="1:13" ht="15.75" customHeight="1">
      <c r="A210" s="51"/>
      <c r="B210" s="51"/>
      <c r="C210" s="52"/>
      <c r="D210" s="53"/>
      <c r="E210" s="35"/>
      <c r="F210" s="54"/>
      <c r="G210" s="51"/>
      <c r="H210" s="6"/>
      <c r="J210" s="8"/>
      <c r="M210" s="55"/>
    </row>
    <row r="211" spans="1:13" ht="15.75" customHeight="1">
      <c r="A211" s="51"/>
      <c r="B211" s="51"/>
      <c r="C211" s="52"/>
      <c r="D211" s="53"/>
      <c r="E211" s="35"/>
      <c r="F211" s="54"/>
      <c r="G211" s="51"/>
      <c r="H211" s="6"/>
      <c r="J211" s="8"/>
      <c r="M211" s="55"/>
    </row>
    <row r="212" spans="1:13" ht="15.75" customHeight="1">
      <c r="A212" s="51"/>
      <c r="B212" s="51"/>
      <c r="C212" s="52"/>
      <c r="D212" s="53"/>
      <c r="E212" s="35"/>
      <c r="F212" s="54"/>
      <c r="G212" s="51"/>
      <c r="H212" s="6"/>
      <c r="J212" s="8"/>
      <c r="M212" s="55"/>
    </row>
    <row r="213" spans="1:13" ht="15.75" customHeight="1">
      <c r="A213" s="51"/>
      <c r="B213" s="51"/>
      <c r="C213" s="52"/>
      <c r="D213" s="53"/>
      <c r="E213" s="35"/>
      <c r="F213" s="54"/>
      <c r="G213" s="51"/>
      <c r="H213" s="6"/>
      <c r="J213" s="8"/>
      <c r="M213" s="55"/>
    </row>
    <row r="214" spans="1:13" ht="15.75" customHeight="1">
      <c r="A214" s="51"/>
      <c r="B214" s="51"/>
      <c r="C214" s="52"/>
      <c r="D214" s="53"/>
      <c r="E214" s="35"/>
      <c r="F214" s="54"/>
      <c r="G214" s="51"/>
      <c r="H214" s="6"/>
      <c r="J214" s="8"/>
      <c r="M214" s="55"/>
    </row>
    <row r="215" spans="1:13" ht="15.75" customHeight="1">
      <c r="A215" s="51"/>
      <c r="B215" s="51"/>
      <c r="C215" s="52"/>
      <c r="D215" s="53"/>
      <c r="E215" s="35"/>
      <c r="F215" s="54"/>
      <c r="G215" s="51"/>
      <c r="H215" s="6"/>
      <c r="J215" s="8"/>
      <c r="M215" s="55"/>
    </row>
    <row r="216" spans="1:13" ht="15.75" customHeight="1">
      <c r="A216" s="51"/>
      <c r="B216" s="51"/>
      <c r="C216" s="52"/>
      <c r="D216" s="53"/>
      <c r="E216" s="35"/>
      <c r="F216" s="54"/>
      <c r="G216" s="51"/>
      <c r="H216" s="6"/>
      <c r="J216" s="8"/>
      <c r="M216" s="55"/>
    </row>
    <row r="217" spans="1:13" ht="15.75" customHeight="1">
      <c r="A217" s="51"/>
      <c r="B217" s="51"/>
      <c r="C217" s="52"/>
      <c r="D217" s="53"/>
      <c r="E217" s="35"/>
      <c r="F217" s="54"/>
      <c r="G217" s="51"/>
      <c r="H217" s="6"/>
      <c r="J217" s="8"/>
      <c r="M217" s="55"/>
    </row>
    <row r="218" spans="1:13" ht="15.75" customHeight="1">
      <c r="A218" s="51"/>
      <c r="B218" s="51"/>
      <c r="C218" s="52"/>
      <c r="D218" s="53"/>
      <c r="E218" s="35"/>
      <c r="F218" s="54"/>
      <c r="G218" s="51"/>
      <c r="H218" s="6"/>
      <c r="J218" s="8"/>
      <c r="M218" s="55"/>
    </row>
    <row r="219" spans="1:13" ht="15.75" customHeight="1">
      <c r="A219" s="51"/>
      <c r="B219" s="51"/>
      <c r="C219" s="52"/>
      <c r="D219" s="53"/>
      <c r="E219" s="35"/>
      <c r="F219" s="54"/>
      <c r="G219" s="51"/>
      <c r="H219" s="6"/>
      <c r="J219" s="8"/>
      <c r="M219" s="55"/>
    </row>
    <row r="220" spans="1:13" ht="15.75" customHeight="1">
      <c r="A220" s="51"/>
      <c r="B220" s="51"/>
      <c r="C220" s="52"/>
      <c r="D220" s="53"/>
      <c r="E220" s="35"/>
      <c r="F220" s="54"/>
      <c r="G220" s="51"/>
      <c r="H220" s="6"/>
      <c r="J220" s="8"/>
      <c r="M220" s="55"/>
    </row>
    <row r="221" spans="1:13" ht="15.75" customHeight="1">
      <c r="A221" s="51"/>
      <c r="B221" s="51"/>
      <c r="C221" s="52"/>
      <c r="D221" s="53"/>
      <c r="E221" s="35"/>
      <c r="F221" s="54"/>
      <c r="G221" s="51"/>
      <c r="H221" s="6"/>
      <c r="J221" s="8"/>
      <c r="M221" s="55"/>
    </row>
    <row r="222" spans="1:13" ht="15.75" customHeight="1">
      <c r="A222" s="51"/>
      <c r="B222" s="51"/>
      <c r="C222" s="52"/>
      <c r="D222" s="53"/>
      <c r="E222" s="35"/>
      <c r="F222" s="54"/>
      <c r="G222" s="51"/>
      <c r="H222" s="6"/>
      <c r="J222" s="8"/>
      <c r="M222" s="55"/>
    </row>
    <row r="223" spans="1:13" ht="15.75" customHeight="1">
      <c r="A223" s="51"/>
      <c r="B223" s="51"/>
      <c r="C223" s="52"/>
      <c r="D223" s="53"/>
      <c r="E223" s="35"/>
      <c r="F223" s="54"/>
      <c r="G223" s="51"/>
      <c r="H223" s="6"/>
      <c r="J223" s="8"/>
      <c r="M223" s="55"/>
    </row>
    <row r="224" spans="1:13" ht="15.75" customHeight="1">
      <c r="A224" s="51"/>
      <c r="B224" s="51"/>
      <c r="C224" s="52"/>
      <c r="D224" s="53"/>
      <c r="E224" s="35"/>
      <c r="F224" s="54"/>
      <c r="G224" s="51"/>
      <c r="H224" s="6"/>
      <c r="J224" s="8"/>
      <c r="M224" s="55"/>
    </row>
    <row r="225" spans="1:13" ht="15.75" customHeight="1">
      <c r="A225" s="51"/>
      <c r="B225" s="51"/>
      <c r="C225" s="52"/>
      <c r="D225" s="53"/>
      <c r="E225" s="35"/>
      <c r="F225" s="54"/>
      <c r="G225" s="51"/>
      <c r="H225" s="6"/>
      <c r="J225" s="8"/>
      <c r="M225" s="55"/>
    </row>
    <row r="226" spans="1:13" ht="15.75" customHeight="1">
      <c r="A226" s="51"/>
      <c r="B226" s="51"/>
      <c r="C226" s="52"/>
      <c r="D226" s="53"/>
      <c r="E226" s="35"/>
      <c r="F226" s="54"/>
      <c r="G226" s="51"/>
      <c r="H226" s="6"/>
      <c r="J226" s="8"/>
      <c r="M226" s="55"/>
    </row>
    <row r="227" spans="1:13" ht="15.75" customHeight="1">
      <c r="A227" s="51"/>
      <c r="B227" s="51"/>
      <c r="C227" s="52"/>
      <c r="D227" s="53"/>
      <c r="E227" s="35"/>
      <c r="F227" s="54"/>
      <c r="G227" s="51"/>
      <c r="H227" s="6"/>
      <c r="J227" s="8"/>
      <c r="M227" s="55"/>
    </row>
    <row r="228" spans="1:13" ht="15.75" customHeight="1">
      <c r="A228" s="51"/>
      <c r="B228" s="51"/>
      <c r="C228" s="52"/>
      <c r="D228" s="53"/>
      <c r="E228" s="35"/>
      <c r="F228" s="54"/>
      <c r="G228" s="51"/>
      <c r="H228" s="6"/>
      <c r="J228" s="8"/>
      <c r="M228" s="55"/>
    </row>
    <row r="229" spans="1:13" ht="15.75" customHeight="1">
      <c r="A229" s="51"/>
      <c r="B229" s="51"/>
      <c r="C229" s="52"/>
      <c r="D229" s="53"/>
      <c r="E229" s="35"/>
      <c r="F229" s="54"/>
      <c r="G229" s="51"/>
      <c r="H229" s="6"/>
      <c r="J229" s="8"/>
      <c r="M229" s="55"/>
    </row>
    <row r="230" spans="1:13" ht="15.75" customHeight="1">
      <c r="A230" s="51"/>
      <c r="B230" s="51"/>
      <c r="C230" s="52"/>
      <c r="D230" s="53"/>
      <c r="E230" s="35"/>
      <c r="F230" s="54"/>
      <c r="G230" s="51"/>
      <c r="H230" s="6"/>
      <c r="J230" s="8"/>
      <c r="M230" s="55"/>
    </row>
    <row r="231" spans="1:13" ht="15.75" customHeight="1">
      <c r="A231" s="51"/>
      <c r="B231" s="51"/>
      <c r="C231" s="52"/>
      <c r="D231" s="53"/>
      <c r="E231" s="35"/>
      <c r="F231" s="54"/>
      <c r="G231" s="51"/>
      <c r="H231" s="6"/>
      <c r="J231" s="8"/>
      <c r="M231" s="55"/>
    </row>
    <row r="232" spans="1:13" ht="15.75" customHeight="1">
      <c r="A232" s="51"/>
      <c r="B232" s="51"/>
      <c r="C232" s="52"/>
      <c r="D232" s="53"/>
      <c r="E232" s="35"/>
      <c r="F232" s="54"/>
      <c r="G232" s="51"/>
      <c r="H232" s="6"/>
      <c r="J232" s="8"/>
      <c r="M232" s="55"/>
    </row>
    <row r="233" spans="1:13" ht="15.75" customHeight="1">
      <c r="A233" s="51"/>
      <c r="B233" s="51"/>
      <c r="C233" s="52"/>
      <c r="D233" s="53"/>
      <c r="E233" s="35"/>
      <c r="F233" s="54"/>
      <c r="G233" s="51"/>
      <c r="H233" s="6"/>
      <c r="J233" s="8"/>
      <c r="M233" s="55"/>
    </row>
    <row r="234" spans="1:13" ht="15.75" customHeight="1">
      <c r="A234" s="51"/>
      <c r="B234" s="51"/>
      <c r="C234" s="52"/>
      <c r="D234" s="53"/>
      <c r="E234" s="35"/>
      <c r="F234" s="54"/>
      <c r="G234" s="51"/>
      <c r="H234" s="6"/>
      <c r="J234" s="8"/>
      <c r="M234" s="55"/>
    </row>
    <row r="235" spans="1:13" ht="15.75" customHeight="1">
      <c r="A235" s="51"/>
      <c r="B235" s="51"/>
      <c r="C235" s="52"/>
      <c r="D235" s="53"/>
      <c r="E235" s="35"/>
      <c r="F235" s="54"/>
      <c r="G235" s="51"/>
      <c r="H235" s="6"/>
      <c r="J235" s="8"/>
      <c r="M235" s="55"/>
    </row>
    <row r="236" spans="1:13" ht="15.75" customHeight="1">
      <c r="A236" s="51"/>
      <c r="B236" s="51"/>
      <c r="C236" s="52"/>
      <c r="D236" s="53"/>
      <c r="E236" s="35"/>
      <c r="F236" s="54"/>
      <c r="G236" s="51"/>
      <c r="H236" s="6"/>
      <c r="J236" s="8"/>
      <c r="M236" s="55"/>
    </row>
    <row r="237" spans="1:13" ht="15.75" customHeight="1">
      <c r="A237" s="51"/>
      <c r="B237" s="51"/>
      <c r="C237" s="52"/>
      <c r="D237" s="53"/>
      <c r="E237" s="35"/>
      <c r="F237" s="54"/>
      <c r="G237" s="51"/>
      <c r="H237" s="6"/>
      <c r="J237" s="8"/>
      <c r="M237" s="55"/>
    </row>
    <row r="238" spans="1:13" ht="15.75" customHeight="1">
      <c r="A238" s="51"/>
      <c r="B238" s="51"/>
      <c r="C238" s="52"/>
      <c r="D238" s="53"/>
      <c r="E238" s="35"/>
      <c r="F238" s="54"/>
      <c r="G238" s="51"/>
      <c r="H238" s="6"/>
      <c r="J238" s="8"/>
      <c r="M238" s="55"/>
    </row>
    <row r="239" spans="1:13" ht="15.75" customHeight="1">
      <c r="A239" s="51"/>
      <c r="B239" s="51"/>
      <c r="C239" s="52"/>
      <c r="D239" s="53"/>
      <c r="E239" s="35"/>
      <c r="F239" s="54"/>
      <c r="G239" s="51"/>
      <c r="H239" s="6"/>
      <c r="J239" s="8"/>
      <c r="M239" s="55"/>
    </row>
    <row r="240" spans="1:13" ht="15.75" customHeight="1">
      <c r="A240" s="51"/>
      <c r="B240" s="51"/>
      <c r="C240" s="52"/>
      <c r="D240" s="53"/>
      <c r="E240" s="35"/>
      <c r="F240" s="54"/>
      <c r="G240" s="51"/>
      <c r="H240" s="6"/>
      <c r="J240" s="8"/>
      <c r="M240" s="55"/>
    </row>
    <row r="241" spans="1:13" ht="15.75" customHeight="1">
      <c r="A241" s="51"/>
      <c r="B241" s="51"/>
      <c r="C241" s="52"/>
      <c r="D241" s="53"/>
      <c r="E241" s="35"/>
      <c r="F241" s="54"/>
      <c r="G241" s="51"/>
      <c r="H241" s="6"/>
      <c r="J241" s="8"/>
      <c r="M241" s="55"/>
    </row>
    <row r="242" spans="1:13" ht="15.75" customHeight="1">
      <c r="A242" s="51"/>
      <c r="B242" s="51"/>
      <c r="C242" s="52"/>
      <c r="D242" s="53"/>
      <c r="E242" s="35"/>
      <c r="F242" s="54"/>
      <c r="G242" s="51"/>
      <c r="H242" s="6"/>
      <c r="J242" s="8"/>
      <c r="M242" s="55"/>
    </row>
    <row r="243" spans="1:13" ht="15.75" customHeight="1">
      <c r="A243" s="51"/>
      <c r="B243" s="51"/>
      <c r="C243" s="52"/>
      <c r="D243" s="53"/>
      <c r="E243" s="35"/>
      <c r="F243" s="54"/>
      <c r="G243" s="51"/>
      <c r="H243" s="6"/>
      <c r="J243" s="8"/>
      <c r="M243" s="55"/>
    </row>
    <row r="244" spans="1:13" ht="15.75" customHeight="1">
      <c r="A244" s="51"/>
      <c r="B244" s="51"/>
      <c r="C244" s="52"/>
      <c r="D244" s="53"/>
      <c r="E244" s="35"/>
      <c r="F244" s="54"/>
      <c r="G244" s="51"/>
      <c r="H244" s="6"/>
      <c r="J244" s="8"/>
      <c r="M244" s="55"/>
    </row>
    <row r="245" spans="1:13" ht="15.75" customHeight="1">
      <c r="A245" s="51"/>
      <c r="B245" s="51"/>
      <c r="C245" s="52"/>
      <c r="D245" s="53"/>
      <c r="E245" s="35"/>
      <c r="F245" s="54"/>
      <c r="G245" s="51"/>
      <c r="H245" s="6"/>
      <c r="J245" s="8"/>
      <c r="M245" s="55"/>
    </row>
    <row r="246" spans="1:13" ht="15.75" customHeight="1">
      <c r="A246" s="51"/>
      <c r="B246" s="51"/>
      <c r="C246" s="52"/>
      <c r="D246" s="53"/>
      <c r="E246" s="35"/>
      <c r="F246" s="54"/>
      <c r="G246" s="51"/>
      <c r="H246" s="6"/>
      <c r="J246" s="8"/>
      <c r="M246" s="55"/>
    </row>
    <row r="247" spans="1:13" ht="15.75" customHeight="1">
      <c r="A247" s="51"/>
      <c r="B247" s="51"/>
      <c r="C247" s="52"/>
      <c r="D247" s="53"/>
      <c r="E247" s="35"/>
      <c r="F247" s="54"/>
      <c r="G247" s="51"/>
      <c r="H247" s="6"/>
      <c r="J247" s="8"/>
      <c r="M247" s="55"/>
    </row>
    <row r="248" spans="1:13" ht="15.75" customHeight="1">
      <c r="A248" s="51"/>
      <c r="B248" s="51"/>
      <c r="C248" s="52"/>
      <c r="D248" s="53"/>
      <c r="E248" s="35"/>
      <c r="F248" s="54"/>
      <c r="G248" s="51"/>
      <c r="H248" s="6"/>
      <c r="J248" s="8"/>
      <c r="M248" s="55"/>
    </row>
    <row r="249" spans="1:13" ht="15.75" customHeight="1">
      <c r="A249" s="51"/>
      <c r="B249" s="51"/>
      <c r="C249" s="52"/>
      <c r="D249" s="53"/>
      <c r="E249" s="35"/>
      <c r="F249" s="54"/>
      <c r="G249" s="51"/>
      <c r="H249" s="6"/>
      <c r="J249" s="8"/>
      <c r="M249" s="55"/>
    </row>
    <row r="250" spans="1:13" ht="15.75" customHeight="1">
      <c r="A250" s="51"/>
      <c r="B250" s="51"/>
      <c r="C250" s="52"/>
      <c r="D250" s="53"/>
      <c r="E250" s="35"/>
      <c r="F250" s="54"/>
      <c r="G250" s="51"/>
      <c r="H250" s="6"/>
      <c r="J250" s="8"/>
      <c r="M250" s="55"/>
    </row>
    <row r="251" spans="1:13" ht="15.75" customHeight="1">
      <c r="A251" s="51"/>
      <c r="B251" s="51"/>
      <c r="C251" s="52"/>
      <c r="D251" s="53"/>
      <c r="E251" s="35"/>
      <c r="F251" s="54"/>
      <c r="G251" s="51"/>
      <c r="H251" s="6"/>
      <c r="J251" s="8"/>
      <c r="M251" s="55"/>
    </row>
    <row r="252" spans="1:13" ht="15.75" customHeight="1">
      <c r="A252" s="51"/>
      <c r="B252" s="51"/>
      <c r="C252" s="52"/>
      <c r="D252" s="53"/>
      <c r="E252" s="35"/>
      <c r="F252" s="54"/>
      <c r="G252" s="51"/>
      <c r="H252" s="6"/>
      <c r="J252" s="8"/>
      <c r="M252" s="55"/>
    </row>
    <row r="253" spans="1:13" ht="15.75" customHeight="1">
      <c r="A253" s="51"/>
      <c r="B253" s="51"/>
      <c r="C253" s="52"/>
      <c r="D253" s="53"/>
      <c r="E253" s="35"/>
      <c r="F253" s="54"/>
      <c r="G253" s="51"/>
      <c r="H253" s="6"/>
      <c r="J253" s="8"/>
      <c r="M253" s="55"/>
    </row>
    <row r="254" spans="1:13" ht="15.75" customHeight="1">
      <c r="A254" s="51"/>
      <c r="B254" s="51"/>
      <c r="C254" s="52"/>
      <c r="D254" s="53"/>
      <c r="E254" s="35"/>
      <c r="F254" s="54"/>
      <c r="G254" s="51"/>
      <c r="H254" s="6"/>
      <c r="J254" s="8"/>
      <c r="M254" s="55"/>
    </row>
    <row r="255" spans="1:13" ht="15.75" customHeight="1">
      <c r="A255" s="51"/>
      <c r="B255" s="51"/>
      <c r="C255" s="52"/>
      <c r="D255" s="53"/>
      <c r="E255" s="35"/>
      <c r="F255" s="54"/>
      <c r="G255" s="51"/>
      <c r="H255" s="6"/>
      <c r="J255" s="8"/>
      <c r="M255" s="55"/>
    </row>
    <row r="256" spans="1:13" ht="15.75" customHeight="1">
      <c r="A256" s="51"/>
      <c r="B256" s="51"/>
      <c r="C256" s="52"/>
      <c r="D256" s="53"/>
      <c r="E256" s="35"/>
      <c r="F256" s="54"/>
      <c r="G256" s="51"/>
      <c r="H256" s="6"/>
      <c r="J256" s="8"/>
      <c r="M256" s="55"/>
    </row>
    <row r="257" spans="1:13" ht="15.75" customHeight="1">
      <c r="A257" s="51"/>
      <c r="B257" s="51"/>
      <c r="C257" s="52"/>
      <c r="D257" s="53"/>
      <c r="E257" s="35"/>
      <c r="F257" s="54"/>
      <c r="G257" s="51"/>
      <c r="H257" s="6"/>
      <c r="J257" s="8"/>
      <c r="M257" s="55"/>
    </row>
    <row r="258" spans="1:13" ht="15.75" customHeight="1">
      <c r="A258" s="51"/>
      <c r="B258" s="51"/>
      <c r="C258" s="52"/>
      <c r="D258" s="53"/>
      <c r="E258" s="35"/>
      <c r="F258" s="54"/>
      <c r="G258" s="51"/>
      <c r="H258" s="6"/>
      <c r="J258" s="8"/>
      <c r="M258" s="55"/>
    </row>
    <row r="259" spans="1:13" ht="15.75" customHeight="1">
      <c r="A259" s="51"/>
      <c r="B259" s="51"/>
      <c r="C259" s="52"/>
      <c r="D259" s="53"/>
      <c r="E259" s="35"/>
      <c r="F259" s="54"/>
      <c r="G259" s="51"/>
      <c r="H259" s="6"/>
      <c r="J259" s="8"/>
      <c r="M259" s="55"/>
    </row>
    <row r="260" spans="1:13" ht="15.75" customHeight="1">
      <c r="A260" s="51"/>
      <c r="B260" s="51"/>
      <c r="C260" s="52"/>
      <c r="D260" s="53"/>
      <c r="E260" s="35"/>
      <c r="F260" s="54"/>
      <c r="G260" s="51"/>
      <c r="H260" s="6"/>
      <c r="J260" s="8"/>
      <c r="M260" s="55"/>
    </row>
    <row r="261" spans="1:13" ht="15.75" customHeight="1">
      <c r="A261" s="51"/>
      <c r="B261" s="51"/>
      <c r="C261" s="52"/>
      <c r="D261" s="53"/>
      <c r="E261" s="35"/>
      <c r="F261" s="54"/>
      <c r="G261" s="51"/>
      <c r="H261" s="6"/>
      <c r="J261" s="8"/>
      <c r="M261" s="55"/>
    </row>
    <row r="262" spans="1:13" ht="15.75" customHeight="1">
      <c r="A262" s="51"/>
      <c r="B262" s="51"/>
      <c r="C262" s="52"/>
      <c r="D262" s="53"/>
      <c r="E262" s="35"/>
      <c r="F262" s="54"/>
      <c r="G262" s="51"/>
      <c r="H262" s="6"/>
      <c r="J262" s="8"/>
      <c r="M262" s="55"/>
    </row>
    <row r="263" spans="1:13" ht="15.75" customHeight="1">
      <c r="A263" s="51"/>
      <c r="B263" s="51"/>
      <c r="C263" s="52"/>
      <c r="D263" s="53"/>
      <c r="E263" s="35"/>
      <c r="F263" s="54"/>
      <c r="G263" s="51"/>
      <c r="H263" s="6"/>
      <c r="J263" s="8"/>
      <c r="M263" s="55"/>
    </row>
    <row r="264" spans="1:13" ht="15.75" customHeight="1">
      <c r="A264" s="51"/>
      <c r="B264" s="51"/>
      <c r="C264" s="52"/>
      <c r="D264" s="53"/>
      <c r="E264" s="35"/>
      <c r="F264" s="54"/>
      <c r="G264" s="51"/>
      <c r="H264" s="6"/>
      <c r="J264" s="8"/>
      <c r="M264" s="55"/>
    </row>
    <row r="265" spans="1:13" ht="15.75" customHeight="1">
      <c r="A265" s="51"/>
      <c r="B265" s="51"/>
      <c r="C265" s="52"/>
      <c r="D265" s="53"/>
      <c r="E265" s="35"/>
      <c r="F265" s="54"/>
      <c r="G265" s="51"/>
      <c r="H265" s="6"/>
      <c r="J265" s="8"/>
      <c r="M265" s="55"/>
    </row>
    <row r="266" spans="1:13" ht="15.75" customHeight="1">
      <c r="A266" s="51"/>
      <c r="B266" s="51"/>
      <c r="C266" s="52"/>
      <c r="D266" s="53"/>
      <c r="E266" s="35"/>
      <c r="F266" s="54"/>
      <c r="G266" s="51"/>
      <c r="H266" s="6"/>
      <c r="J266" s="8"/>
      <c r="M266" s="55"/>
    </row>
    <row r="267" spans="1:13" ht="15.75" customHeight="1">
      <c r="A267" s="51"/>
      <c r="B267" s="51"/>
      <c r="C267" s="52"/>
      <c r="D267" s="53"/>
      <c r="E267" s="35"/>
      <c r="F267" s="54"/>
      <c r="G267" s="51"/>
      <c r="H267" s="6"/>
      <c r="J267" s="8"/>
      <c r="M267" s="55"/>
    </row>
    <row r="268" spans="1:13" ht="15.75" customHeight="1">
      <c r="A268" s="51"/>
      <c r="B268" s="51"/>
      <c r="C268" s="52"/>
      <c r="D268" s="53"/>
      <c r="E268" s="35"/>
      <c r="F268" s="54"/>
      <c r="G268" s="51"/>
      <c r="H268" s="6"/>
      <c r="J268" s="8"/>
      <c r="M268" s="55"/>
    </row>
    <row r="269" spans="1:13" ht="15.75" customHeight="1">
      <c r="A269" s="51"/>
      <c r="B269" s="51"/>
      <c r="C269" s="52"/>
      <c r="D269" s="53"/>
      <c r="E269" s="35"/>
      <c r="F269" s="54"/>
      <c r="G269" s="51"/>
      <c r="H269" s="6"/>
      <c r="J269" s="8"/>
      <c r="M269" s="55"/>
    </row>
    <row r="270" spans="1:13" ht="15.75" customHeight="1">
      <c r="A270" s="51"/>
      <c r="B270" s="51"/>
      <c r="C270" s="52"/>
      <c r="D270" s="53"/>
      <c r="E270" s="35"/>
      <c r="F270" s="54"/>
      <c r="G270" s="51"/>
      <c r="H270" s="6"/>
      <c r="J270" s="8"/>
      <c r="M270" s="55"/>
    </row>
    <row r="271" spans="1:13" ht="15.75" customHeight="1">
      <c r="A271" s="51"/>
      <c r="B271" s="51"/>
      <c r="C271" s="52"/>
      <c r="D271" s="53"/>
      <c r="E271" s="35"/>
      <c r="F271" s="54"/>
      <c r="G271" s="51"/>
      <c r="H271" s="6"/>
      <c r="J271" s="8"/>
      <c r="M271" s="55"/>
    </row>
    <row r="272" spans="1:13" ht="15.75" customHeight="1">
      <c r="A272" s="51"/>
      <c r="B272" s="51"/>
      <c r="C272" s="52"/>
      <c r="D272" s="53"/>
      <c r="E272" s="35"/>
      <c r="F272" s="54"/>
      <c r="G272" s="51"/>
      <c r="H272" s="6"/>
      <c r="J272" s="8"/>
      <c r="M272" s="55"/>
    </row>
    <row r="273" spans="1:13" ht="15.75" customHeight="1">
      <c r="A273" s="51"/>
      <c r="B273" s="51"/>
      <c r="C273" s="52"/>
      <c r="D273" s="53"/>
      <c r="E273" s="35"/>
      <c r="F273" s="54"/>
      <c r="G273" s="51"/>
      <c r="H273" s="6"/>
      <c r="J273" s="8"/>
      <c r="M273" s="55"/>
    </row>
    <row r="274" spans="1:13" ht="15.75" customHeight="1">
      <c r="A274" s="51"/>
      <c r="B274" s="51"/>
      <c r="C274" s="52"/>
      <c r="D274" s="53"/>
      <c r="E274" s="35"/>
      <c r="F274" s="54"/>
      <c r="G274" s="51"/>
      <c r="H274" s="6"/>
      <c r="J274" s="8"/>
      <c r="M274" s="55"/>
    </row>
    <row r="275" spans="1:13" ht="15.75" customHeight="1">
      <c r="A275" s="51"/>
      <c r="B275" s="51"/>
      <c r="C275" s="52"/>
      <c r="D275" s="53"/>
      <c r="E275" s="35"/>
      <c r="F275" s="54"/>
      <c r="G275" s="51"/>
      <c r="H275" s="6"/>
      <c r="J275" s="8"/>
      <c r="M275" s="55"/>
    </row>
    <row r="276" spans="1:13" ht="15.75" customHeight="1">
      <c r="A276" s="51"/>
      <c r="B276" s="51"/>
      <c r="C276" s="52"/>
      <c r="D276" s="53"/>
      <c r="E276" s="35"/>
      <c r="F276" s="54"/>
      <c r="G276" s="51"/>
      <c r="H276" s="6"/>
      <c r="J276" s="8"/>
      <c r="M276" s="55"/>
    </row>
    <row r="277" spans="1:13" ht="15.75" customHeight="1">
      <c r="A277" s="51"/>
      <c r="B277" s="51"/>
      <c r="C277" s="52"/>
      <c r="D277" s="53"/>
      <c r="E277" s="35"/>
      <c r="F277" s="54"/>
      <c r="G277" s="51"/>
      <c r="H277" s="6"/>
      <c r="J277" s="8"/>
      <c r="M277" s="55"/>
    </row>
    <row r="278" spans="1:13" ht="15.75" customHeight="1">
      <c r="A278" s="51"/>
      <c r="B278" s="51"/>
      <c r="C278" s="52"/>
      <c r="D278" s="53"/>
      <c r="E278" s="35"/>
      <c r="F278" s="54"/>
      <c r="G278" s="51"/>
      <c r="H278" s="6"/>
      <c r="J278" s="8"/>
      <c r="M278" s="55"/>
    </row>
    <row r="279" spans="1:13" ht="15.75" customHeight="1">
      <c r="A279" s="51"/>
      <c r="B279" s="51"/>
      <c r="C279" s="52"/>
      <c r="D279" s="53"/>
      <c r="E279" s="35"/>
      <c r="F279" s="54"/>
      <c r="G279" s="51"/>
      <c r="H279" s="6"/>
      <c r="J279" s="8"/>
      <c r="M279" s="55"/>
    </row>
    <row r="280" spans="1:13" ht="15.75" customHeight="1">
      <c r="A280" s="51"/>
      <c r="B280" s="51"/>
      <c r="C280" s="52"/>
      <c r="D280" s="53"/>
      <c r="E280" s="35"/>
      <c r="F280" s="54"/>
      <c r="G280" s="51"/>
      <c r="H280" s="6"/>
      <c r="J280" s="8"/>
      <c r="M280" s="55"/>
    </row>
    <row r="281" spans="1:13" ht="15.75" customHeight="1">
      <c r="A281" s="51"/>
      <c r="B281" s="51"/>
      <c r="C281" s="52"/>
      <c r="D281" s="53"/>
      <c r="E281" s="35"/>
      <c r="F281" s="54"/>
      <c r="G281" s="51"/>
      <c r="H281" s="6"/>
      <c r="J281" s="8"/>
      <c r="M281" s="55"/>
    </row>
    <row r="282" spans="1:13" ht="15.75" customHeight="1">
      <c r="A282" s="51"/>
      <c r="B282" s="51"/>
      <c r="C282" s="52"/>
      <c r="D282" s="53"/>
      <c r="E282" s="35"/>
      <c r="F282" s="54"/>
      <c r="G282" s="51"/>
      <c r="H282" s="6"/>
      <c r="J282" s="8"/>
      <c r="M282" s="55"/>
    </row>
    <row r="283" spans="1:13" ht="15.75" customHeight="1">
      <c r="A283" s="51"/>
      <c r="B283" s="51"/>
      <c r="C283" s="52"/>
      <c r="D283" s="53"/>
      <c r="E283" s="35"/>
      <c r="F283" s="54"/>
      <c r="G283" s="51"/>
      <c r="H283" s="6"/>
      <c r="J283" s="8"/>
      <c r="M283" s="55"/>
    </row>
    <row r="284" spans="1:13" ht="15.75" customHeight="1">
      <c r="A284" s="51"/>
      <c r="B284" s="51"/>
      <c r="C284" s="52"/>
      <c r="D284" s="53"/>
      <c r="E284" s="35"/>
      <c r="F284" s="54"/>
      <c r="G284" s="51"/>
      <c r="H284" s="6"/>
      <c r="J284" s="8"/>
      <c r="M284" s="55"/>
    </row>
    <row r="285" spans="1:13" ht="15.75" customHeight="1">
      <c r="A285" s="51"/>
      <c r="B285" s="51"/>
      <c r="C285" s="52"/>
      <c r="D285" s="53"/>
      <c r="E285" s="35"/>
      <c r="F285" s="54"/>
      <c r="G285" s="51"/>
      <c r="H285" s="6"/>
      <c r="J285" s="8"/>
      <c r="M285" s="55"/>
    </row>
    <row r="286" spans="1:13" ht="15.75" customHeight="1">
      <c r="A286" s="51"/>
      <c r="B286" s="51"/>
      <c r="C286" s="52"/>
      <c r="D286" s="53"/>
      <c r="E286" s="35"/>
      <c r="F286" s="54"/>
      <c r="G286" s="51"/>
      <c r="H286" s="6"/>
      <c r="J286" s="8"/>
      <c r="M286" s="55"/>
    </row>
    <row r="287" spans="1:13" ht="15.75" customHeight="1">
      <c r="A287" s="51"/>
      <c r="B287" s="51"/>
      <c r="C287" s="52"/>
      <c r="D287" s="53"/>
      <c r="E287" s="35"/>
      <c r="F287" s="54"/>
      <c r="G287" s="51"/>
      <c r="H287" s="6"/>
      <c r="J287" s="8"/>
      <c r="M287" s="55"/>
    </row>
    <row r="288" spans="1:13" ht="15.75" customHeight="1">
      <c r="A288" s="51"/>
      <c r="B288" s="51"/>
      <c r="C288" s="52"/>
      <c r="D288" s="53"/>
      <c r="E288" s="35"/>
      <c r="F288" s="54"/>
      <c r="G288" s="51"/>
      <c r="H288" s="6"/>
      <c r="J288" s="8"/>
      <c r="M288" s="55"/>
    </row>
    <row r="289" spans="1:13" ht="15.75" customHeight="1">
      <c r="A289" s="51"/>
      <c r="B289" s="51"/>
      <c r="C289" s="52"/>
      <c r="D289" s="53"/>
      <c r="E289" s="35"/>
      <c r="F289" s="54"/>
      <c r="G289" s="51"/>
      <c r="H289" s="6"/>
      <c r="J289" s="8"/>
      <c r="M289" s="55"/>
    </row>
    <row r="290" spans="1:13" ht="15.75" customHeight="1">
      <c r="A290" s="51"/>
      <c r="B290" s="51"/>
      <c r="C290" s="52"/>
      <c r="D290" s="53"/>
      <c r="E290" s="35"/>
      <c r="F290" s="54"/>
      <c r="G290" s="51"/>
      <c r="H290" s="6"/>
      <c r="J290" s="8"/>
      <c r="M290" s="55"/>
    </row>
    <row r="291" spans="1:13" ht="15.75" customHeight="1">
      <c r="A291" s="51"/>
      <c r="B291" s="51"/>
      <c r="C291" s="52"/>
      <c r="D291" s="53"/>
      <c r="E291" s="35"/>
      <c r="F291" s="54"/>
      <c r="G291" s="51"/>
      <c r="H291" s="6"/>
      <c r="J291" s="8"/>
      <c r="M291" s="55"/>
    </row>
    <row r="292" spans="1:13" ht="15.75" customHeight="1">
      <c r="A292" s="51"/>
      <c r="B292" s="51"/>
      <c r="C292" s="52"/>
      <c r="D292" s="53"/>
      <c r="E292" s="35"/>
      <c r="F292" s="54"/>
      <c r="G292" s="51"/>
      <c r="H292" s="6"/>
      <c r="J292" s="8"/>
      <c r="M292" s="55"/>
    </row>
    <row r="293" spans="1:13" ht="15.75" customHeight="1">
      <c r="A293" s="51"/>
      <c r="B293" s="51"/>
      <c r="C293" s="52"/>
      <c r="D293" s="53"/>
      <c r="E293" s="35"/>
      <c r="F293" s="54"/>
      <c r="G293" s="51"/>
      <c r="H293" s="6"/>
      <c r="J293" s="8"/>
      <c r="M293" s="55"/>
    </row>
    <row r="294" spans="1:13" ht="15.75" customHeight="1">
      <c r="A294" s="51"/>
      <c r="B294" s="51"/>
      <c r="C294" s="52"/>
      <c r="D294" s="53"/>
      <c r="E294" s="35"/>
      <c r="F294" s="54"/>
      <c r="G294" s="51"/>
      <c r="H294" s="6"/>
      <c r="J294" s="8"/>
      <c r="M294" s="55"/>
    </row>
    <row r="295" spans="1:13" ht="15.75" customHeight="1">
      <c r="A295" s="51"/>
      <c r="B295" s="51"/>
      <c r="C295" s="52"/>
      <c r="D295" s="53"/>
      <c r="E295" s="35"/>
      <c r="F295" s="54"/>
      <c r="G295" s="51"/>
      <c r="H295" s="6"/>
      <c r="J295" s="8"/>
      <c r="M295" s="55"/>
    </row>
    <row r="296" spans="1:13" ht="15.75" customHeight="1">
      <c r="A296" s="51"/>
      <c r="B296" s="51"/>
      <c r="C296" s="52"/>
      <c r="D296" s="53"/>
      <c r="E296" s="35"/>
      <c r="F296" s="54"/>
      <c r="G296" s="51"/>
      <c r="H296" s="6"/>
      <c r="J296" s="8"/>
      <c r="M296" s="55"/>
    </row>
    <row r="297" spans="1:13" ht="15.75" customHeight="1">
      <c r="A297" s="51"/>
      <c r="B297" s="51"/>
      <c r="C297" s="52"/>
      <c r="D297" s="53"/>
      <c r="E297" s="35"/>
      <c r="F297" s="54"/>
      <c r="G297" s="51"/>
      <c r="H297" s="6"/>
      <c r="J297" s="8"/>
      <c r="M297" s="55"/>
    </row>
    <row r="298" spans="1:13" ht="15.75" customHeight="1">
      <c r="A298" s="51"/>
      <c r="B298" s="51"/>
      <c r="C298" s="52"/>
      <c r="D298" s="53"/>
      <c r="E298" s="35"/>
      <c r="F298" s="54"/>
      <c r="G298" s="51"/>
      <c r="H298" s="6"/>
      <c r="J298" s="8"/>
      <c r="M298" s="55"/>
    </row>
    <row r="299" spans="1:13" ht="15.75" customHeight="1">
      <c r="A299" s="51"/>
      <c r="B299" s="51"/>
      <c r="C299" s="52"/>
      <c r="D299" s="53"/>
      <c r="E299" s="35"/>
      <c r="F299" s="54"/>
      <c r="G299" s="51"/>
      <c r="H299" s="6"/>
      <c r="J299" s="8"/>
      <c r="M299" s="55"/>
    </row>
    <row r="300" spans="1:13" ht="15.75" customHeight="1">
      <c r="A300" s="51"/>
      <c r="B300" s="51"/>
      <c r="C300" s="52"/>
      <c r="D300" s="53"/>
      <c r="E300" s="35"/>
      <c r="F300" s="54"/>
      <c r="G300" s="51"/>
      <c r="H300" s="6"/>
      <c r="J300" s="8"/>
      <c r="M300" s="55"/>
    </row>
    <row r="301" spans="1:13" ht="15.75" customHeight="1">
      <c r="A301" s="51"/>
      <c r="B301" s="51"/>
      <c r="C301" s="52"/>
      <c r="D301" s="53"/>
      <c r="E301" s="35"/>
      <c r="F301" s="54"/>
      <c r="G301" s="51"/>
      <c r="H301" s="6"/>
      <c r="J301" s="8"/>
      <c r="M301" s="55"/>
    </row>
    <row r="302" spans="1:13" ht="15.75" customHeight="1">
      <c r="A302" s="51"/>
      <c r="B302" s="51"/>
      <c r="C302" s="52"/>
      <c r="D302" s="53"/>
      <c r="E302" s="35"/>
      <c r="F302" s="54"/>
      <c r="G302" s="51"/>
      <c r="H302" s="6"/>
      <c r="J302" s="8"/>
      <c r="M302" s="55"/>
    </row>
    <row r="303" spans="1:13" ht="15.75" customHeight="1">
      <c r="A303" s="51"/>
      <c r="B303" s="51"/>
      <c r="C303" s="52"/>
      <c r="D303" s="53"/>
      <c r="E303" s="35"/>
      <c r="F303" s="54"/>
      <c r="G303" s="51"/>
      <c r="H303" s="6"/>
      <c r="J303" s="8"/>
      <c r="M303" s="55"/>
    </row>
    <row r="304" spans="1:13" ht="15.75" customHeight="1">
      <c r="A304" s="51"/>
      <c r="B304" s="51"/>
      <c r="C304" s="52"/>
      <c r="D304" s="53"/>
      <c r="E304" s="35"/>
      <c r="F304" s="54"/>
      <c r="G304" s="51"/>
      <c r="H304" s="6"/>
      <c r="J304" s="8"/>
      <c r="M304" s="55"/>
    </row>
    <row r="305" spans="1:13" ht="15.75" customHeight="1">
      <c r="A305" s="51"/>
      <c r="B305" s="51"/>
      <c r="C305" s="52"/>
      <c r="D305" s="53"/>
      <c r="E305" s="35"/>
      <c r="F305" s="54"/>
      <c r="G305" s="51"/>
      <c r="H305" s="6"/>
      <c r="J305" s="8"/>
      <c r="M305" s="55"/>
    </row>
    <row r="306" spans="1:13" ht="15.75" customHeight="1">
      <c r="A306" s="51"/>
      <c r="B306" s="51"/>
      <c r="C306" s="52"/>
      <c r="D306" s="53"/>
      <c r="E306" s="35"/>
      <c r="F306" s="54"/>
      <c r="G306" s="51"/>
      <c r="H306" s="6"/>
      <c r="J306" s="8"/>
      <c r="M306" s="55"/>
    </row>
    <row r="307" spans="1:13" ht="15.75" customHeight="1">
      <c r="A307" s="51"/>
      <c r="B307" s="51"/>
      <c r="C307" s="52"/>
      <c r="D307" s="53"/>
      <c r="E307" s="35"/>
      <c r="F307" s="54"/>
      <c r="G307" s="51"/>
      <c r="H307" s="6"/>
      <c r="J307" s="8"/>
      <c r="M307" s="55"/>
    </row>
    <row r="308" spans="1:13" ht="15.75" customHeight="1">
      <c r="A308" s="51"/>
      <c r="B308" s="51"/>
      <c r="C308" s="52"/>
      <c r="D308" s="53"/>
      <c r="E308" s="35"/>
      <c r="F308" s="54"/>
      <c r="G308" s="51"/>
      <c r="H308" s="6"/>
      <c r="J308" s="8"/>
      <c r="M308" s="55"/>
    </row>
    <row r="309" spans="1:13" ht="15.75" customHeight="1">
      <c r="A309" s="51"/>
      <c r="B309" s="51"/>
      <c r="C309" s="52"/>
      <c r="D309" s="53"/>
      <c r="E309" s="35"/>
      <c r="F309" s="54"/>
      <c r="G309" s="51"/>
      <c r="H309" s="6"/>
      <c r="J309" s="8"/>
      <c r="M309" s="55"/>
    </row>
    <row r="310" spans="1:13" ht="15.75" customHeight="1">
      <c r="A310" s="51"/>
      <c r="B310" s="51"/>
      <c r="C310" s="52"/>
      <c r="D310" s="53"/>
      <c r="E310" s="35"/>
      <c r="F310" s="54"/>
      <c r="G310" s="51"/>
      <c r="H310" s="6"/>
      <c r="J310" s="8"/>
      <c r="M310" s="55"/>
    </row>
    <row r="311" spans="1:13" ht="15.75" customHeight="1">
      <c r="A311" s="51"/>
      <c r="B311" s="51"/>
      <c r="C311" s="52"/>
      <c r="D311" s="53"/>
      <c r="E311" s="35"/>
      <c r="F311" s="54"/>
      <c r="G311" s="51"/>
      <c r="H311" s="6"/>
      <c r="J311" s="8"/>
      <c r="M311" s="55"/>
    </row>
    <row r="312" spans="1:13" ht="15.75" customHeight="1">
      <c r="A312" s="51"/>
      <c r="B312" s="51"/>
      <c r="C312" s="52"/>
      <c r="D312" s="53"/>
      <c r="E312" s="35"/>
      <c r="F312" s="54"/>
      <c r="G312" s="51"/>
      <c r="H312" s="6"/>
      <c r="J312" s="8"/>
      <c r="M312" s="55"/>
    </row>
    <row r="313" spans="1:13" ht="15.75" customHeight="1">
      <c r="A313" s="51"/>
      <c r="B313" s="51"/>
      <c r="C313" s="52"/>
      <c r="D313" s="53"/>
      <c r="E313" s="35"/>
      <c r="F313" s="54"/>
      <c r="G313" s="51"/>
      <c r="H313" s="6"/>
      <c r="J313" s="8"/>
      <c r="M313" s="55"/>
    </row>
    <row r="314" spans="1:13" ht="15.75" customHeight="1">
      <c r="A314" s="51"/>
      <c r="B314" s="51"/>
      <c r="C314" s="52"/>
      <c r="D314" s="53"/>
      <c r="E314" s="35"/>
      <c r="F314" s="54"/>
      <c r="G314" s="51"/>
      <c r="H314" s="6"/>
      <c r="J314" s="8"/>
      <c r="M314" s="55"/>
    </row>
    <row r="315" spans="1:13" ht="15.75" customHeight="1">
      <c r="A315" s="51"/>
      <c r="B315" s="51"/>
      <c r="C315" s="52"/>
      <c r="D315" s="53"/>
      <c r="E315" s="35"/>
      <c r="F315" s="54"/>
      <c r="G315" s="51"/>
      <c r="H315" s="6"/>
      <c r="J315" s="8"/>
      <c r="M315" s="55"/>
    </row>
    <row r="316" spans="1:13" ht="15.75" customHeight="1">
      <c r="A316" s="51"/>
      <c r="B316" s="51"/>
      <c r="C316" s="52"/>
      <c r="D316" s="53"/>
      <c r="E316" s="35"/>
      <c r="F316" s="54"/>
      <c r="G316" s="51"/>
      <c r="H316" s="6"/>
      <c r="J316" s="8"/>
      <c r="M316" s="55"/>
    </row>
    <row r="317" spans="1:13" ht="15.75" customHeight="1">
      <c r="A317" s="51"/>
      <c r="B317" s="51"/>
      <c r="C317" s="52"/>
      <c r="D317" s="53"/>
      <c r="E317" s="35"/>
      <c r="F317" s="54"/>
      <c r="G317" s="51"/>
      <c r="H317" s="6"/>
      <c r="J317" s="8"/>
      <c r="M317" s="55"/>
    </row>
    <row r="318" spans="1:13" ht="15.75" customHeight="1">
      <c r="A318" s="51"/>
      <c r="B318" s="51"/>
      <c r="C318" s="52"/>
      <c r="D318" s="53"/>
      <c r="E318" s="35"/>
      <c r="F318" s="54"/>
      <c r="G318" s="51"/>
      <c r="H318" s="6"/>
      <c r="J318" s="8"/>
      <c r="M318" s="55"/>
    </row>
    <row r="319" spans="1:13" ht="15.75" customHeight="1">
      <c r="A319" s="51"/>
      <c r="B319" s="51"/>
      <c r="C319" s="52"/>
      <c r="D319" s="53"/>
      <c r="E319" s="35"/>
      <c r="F319" s="54"/>
      <c r="G319" s="51"/>
      <c r="H319" s="6"/>
      <c r="J319" s="8"/>
      <c r="M319" s="55"/>
    </row>
    <row r="320" spans="1:13" ht="15.75" customHeight="1">
      <c r="A320" s="51"/>
      <c r="B320" s="51"/>
      <c r="C320" s="52"/>
      <c r="D320" s="53"/>
      <c r="E320" s="35"/>
      <c r="F320" s="54"/>
      <c r="G320" s="51"/>
      <c r="H320" s="6"/>
      <c r="J320" s="8"/>
      <c r="M320" s="55"/>
    </row>
    <row r="321" spans="1:13" ht="15.75" customHeight="1">
      <c r="A321" s="51"/>
      <c r="B321" s="51"/>
      <c r="C321" s="52"/>
      <c r="D321" s="53"/>
      <c r="E321" s="35"/>
      <c r="F321" s="54"/>
      <c r="G321" s="51"/>
      <c r="H321" s="6"/>
      <c r="J321" s="8"/>
      <c r="M321" s="55"/>
    </row>
    <row r="322" spans="1:13" ht="15.75" customHeight="1">
      <c r="A322" s="51"/>
      <c r="B322" s="51"/>
      <c r="C322" s="52"/>
      <c r="D322" s="53"/>
      <c r="E322" s="35"/>
      <c r="F322" s="54"/>
      <c r="G322" s="51"/>
      <c r="H322" s="6"/>
      <c r="J322" s="8"/>
      <c r="M322" s="55"/>
    </row>
    <row r="323" spans="1:13" ht="15.75" customHeight="1">
      <c r="A323" s="51"/>
      <c r="B323" s="51"/>
      <c r="C323" s="52"/>
      <c r="D323" s="53"/>
      <c r="E323" s="35"/>
      <c r="F323" s="54"/>
      <c r="G323" s="51"/>
      <c r="H323" s="6"/>
      <c r="J323" s="8"/>
      <c r="M323" s="55"/>
    </row>
    <row r="324" spans="1:13" ht="15.75" customHeight="1">
      <c r="A324" s="51"/>
      <c r="B324" s="51"/>
      <c r="C324" s="52"/>
      <c r="D324" s="53"/>
      <c r="E324" s="35"/>
      <c r="F324" s="54"/>
      <c r="G324" s="51"/>
      <c r="H324" s="6"/>
      <c r="J324" s="8"/>
      <c r="M324" s="55"/>
    </row>
    <row r="325" spans="1:13" ht="15.75" customHeight="1">
      <c r="A325" s="51"/>
      <c r="B325" s="51"/>
      <c r="C325" s="52"/>
      <c r="D325" s="53"/>
      <c r="E325" s="35"/>
      <c r="F325" s="54"/>
      <c r="G325" s="51"/>
      <c r="H325" s="6"/>
      <c r="J325" s="8"/>
      <c r="M325" s="55"/>
    </row>
    <row r="326" spans="1:13" ht="15.75" customHeight="1">
      <c r="A326" s="51"/>
      <c r="B326" s="51"/>
      <c r="C326" s="52"/>
      <c r="D326" s="53"/>
      <c r="E326" s="35"/>
      <c r="F326" s="54"/>
      <c r="G326" s="51"/>
      <c r="H326" s="6"/>
      <c r="J326" s="8"/>
      <c r="M326" s="55"/>
    </row>
    <row r="327" spans="1:13" ht="15.75" customHeight="1">
      <c r="A327" s="51"/>
      <c r="B327" s="51"/>
      <c r="C327" s="52"/>
      <c r="D327" s="53"/>
      <c r="E327" s="35"/>
      <c r="F327" s="54"/>
      <c r="G327" s="51"/>
      <c r="H327" s="6"/>
      <c r="J327" s="8"/>
      <c r="M327" s="55"/>
    </row>
    <row r="328" spans="1:13" ht="15.75" customHeight="1">
      <c r="A328" s="51"/>
      <c r="B328" s="51"/>
      <c r="C328" s="52"/>
      <c r="D328" s="53"/>
      <c r="E328" s="35"/>
      <c r="F328" s="54"/>
      <c r="G328" s="51"/>
      <c r="H328" s="6"/>
      <c r="J328" s="8"/>
      <c r="M328" s="55"/>
    </row>
    <row r="329" spans="1:13" ht="15.75" customHeight="1">
      <c r="A329" s="51"/>
      <c r="B329" s="51"/>
      <c r="C329" s="52"/>
      <c r="D329" s="53"/>
      <c r="E329" s="35"/>
      <c r="F329" s="54"/>
      <c r="G329" s="51"/>
      <c r="H329" s="6"/>
      <c r="J329" s="8"/>
      <c r="M329" s="55"/>
    </row>
    <row r="330" spans="1:13" ht="15.75" customHeight="1">
      <c r="A330" s="51"/>
      <c r="B330" s="51"/>
      <c r="C330" s="52"/>
      <c r="D330" s="53"/>
      <c r="E330" s="35"/>
      <c r="F330" s="54"/>
      <c r="G330" s="51"/>
      <c r="H330" s="6"/>
      <c r="J330" s="8"/>
      <c r="M330" s="55"/>
    </row>
    <row r="331" spans="1:13" ht="15.75" customHeight="1">
      <c r="A331" s="51"/>
      <c r="B331" s="51"/>
      <c r="C331" s="52"/>
      <c r="D331" s="53"/>
      <c r="E331" s="35"/>
      <c r="F331" s="54"/>
      <c r="G331" s="51"/>
      <c r="H331" s="6"/>
      <c r="J331" s="8"/>
      <c r="M331" s="55"/>
    </row>
    <row r="332" spans="1:13" ht="15.75" customHeight="1">
      <c r="A332" s="51"/>
      <c r="B332" s="51"/>
      <c r="C332" s="52"/>
      <c r="D332" s="53"/>
      <c r="E332" s="35"/>
      <c r="F332" s="54"/>
      <c r="G332" s="51"/>
      <c r="H332" s="6"/>
      <c r="J332" s="8"/>
      <c r="M332" s="55"/>
    </row>
    <row r="333" spans="1:13" ht="15.75" customHeight="1">
      <c r="A333" s="51"/>
      <c r="B333" s="51"/>
      <c r="C333" s="52"/>
      <c r="D333" s="53"/>
      <c r="E333" s="35"/>
      <c r="F333" s="54"/>
      <c r="G333" s="51"/>
      <c r="H333" s="6"/>
      <c r="J333" s="8"/>
      <c r="M333" s="55"/>
    </row>
    <row r="334" spans="1:13" ht="15.75" customHeight="1">
      <c r="A334" s="51"/>
      <c r="B334" s="51"/>
      <c r="C334" s="52"/>
      <c r="D334" s="53"/>
      <c r="E334" s="35"/>
      <c r="F334" s="54"/>
      <c r="G334" s="51"/>
      <c r="H334" s="6"/>
      <c r="J334" s="8"/>
      <c r="M334" s="55"/>
    </row>
    <row r="335" spans="1:13" ht="15.75" customHeight="1">
      <c r="A335" s="51"/>
      <c r="B335" s="51"/>
      <c r="C335" s="52"/>
      <c r="D335" s="53"/>
      <c r="E335" s="35"/>
      <c r="F335" s="54"/>
      <c r="G335" s="51"/>
      <c r="H335" s="6"/>
      <c r="J335" s="8"/>
      <c r="M335" s="55"/>
    </row>
    <row r="336" spans="1:13" ht="15.75" customHeight="1">
      <c r="A336" s="51"/>
      <c r="B336" s="51"/>
      <c r="C336" s="52"/>
      <c r="D336" s="53"/>
      <c r="E336" s="35"/>
      <c r="F336" s="54"/>
      <c r="G336" s="51"/>
      <c r="H336" s="6"/>
      <c r="J336" s="8"/>
      <c r="M336" s="55"/>
    </row>
    <row r="337" spans="1:13" ht="15.75" customHeight="1">
      <c r="A337" s="51"/>
      <c r="B337" s="51"/>
      <c r="C337" s="52"/>
      <c r="D337" s="53"/>
      <c r="E337" s="35"/>
      <c r="F337" s="54"/>
      <c r="G337" s="51"/>
      <c r="H337" s="6"/>
      <c r="J337" s="8"/>
      <c r="M337" s="55"/>
    </row>
    <row r="338" spans="1:13" ht="15.75" customHeight="1">
      <c r="A338" s="51"/>
      <c r="B338" s="51"/>
      <c r="C338" s="52"/>
      <c r="D338" s="53"/>
      <c r="E338" s="35"/>
      <c r="F338" s="54"/>
      <c r="G338" s="51"/>
      <c r="H338" s="6"/>
      <c r="J338" s="8"/>
      <c r="M338" s="55"/>
    </row>
    <row r="339" spans="1:13" ht="15.75" customHeight="1">
      <c r="A339" s="51"/>
      <c r="B339" s="51"/>
      <c r="C339" s="52"/>
      <c r="D339" s="53"/>
      <c r="E339" s="35"/>
      <c r="F339" s="54"/>
      <c r="G339" s="51"/>
      <c r="H339" s="6"/>
      <c r="J339" s="8"/>
      <c r="M339" s="55"/>
    </row>
    <row r="340" spans="1:13" ht="15.75" customHeight="1">
      <c r="A340" s="51"/>
      <c r="B340" s="51"/>
      <c r="C340" s="52"/>
      <c r="D340" s="53"/>
      <c r="E340" s="35"/>
      <c r="F340" s="54"/>
      <c r="G340" s="51"/>
      <c r="H340" s="6"/>
      <c r="J340" s="8"/>
      <c r="M340" s="55"/>
    </row>
    <row r="341" spans="1:13" ht="15.75" customHeight="1">
      <c r="A341" s="51"/>
      <c r="B341" s="51"/>
      <c r="C341" s="52"/>
      <c r="D341" s="53"/>
      <c r="E341" s="35"/>
      <c r="F341" s="54"/>
      <c r="G341" s="51"/>
      <c r="H341" s="6"/>
      <c r="J341" s="8"/>
      <c r="M341" s="55"/>
    </row>
    <row r="342" spans="1:13" ht="15.75" customHeight="1">
      <c r="A342" s="51"/>
      <c r="B342" s="51"/>
      <c r="C342" s="52"/>
      <c r="D342" s="53"/>
      <c r="E342" s="35"/>
      <c r="F342" s="54"/>
      <c r="G342" s="51"/>
      <c r="H342" s="6"/>
      <c r="J342" s="8"/>
      <c r="M342" s="55"/>
    </row>
    <row r="343" spans="1:13" ht="15.75" customHeight="1">
      <c r="A343" s="51"/>
      <c r="B343" s="51"/>
      <c r="C343" s="52"/>
      <c r="D343" s="53"/>
      <c r="E343" s="35"/>
      <c r="F343" s="54"/>
      <c r="G343" s="51"/>
      <c r="H343" s="6"/>
      <c r="J343" s="8"/>
      <c r="M343" s="55"/>
    </row>
    <row r="344" spans="1:13" ht="15.75" customHeight="1">
      <c r="A344" s="51"/>
      <c r="B344" s="51"/>
      <c r="C344" s="52"/>
      <c r="D344" s="53"/>
      <c r="E344" s="35"/>
      <c r="F344" s="54"/>
      <c r="G344" s="51"/>
      <c r="H344" s="6"/>
      <c r="J344" s="8"/>
      <c r="M344" s="55"/>
    </row>
    <row r="345" spans="1:13" ht="15.75" customHeight="1">
      <c r="A345" s="51"/>
      <c r="B345" s="51"/>
      <c r="C345" s="52"/>
      <c r="D345" s="53"/>
      <c r="E345" s="35"/>
      <c r="F345" s="54"/>
      <c r="G345" s="51"/>
      <c r="H345" s="6"/>
      <c r="J345" s="8"/>
      <c r="M345" s="55"/>
    </row>
    <row r="346" spans="1:13" ht="15.75" customHeight="1">
      <c r="A346" s="51"/>
      <c r="B346" s="51"/>
      <c r="C346" s="52"/>
      <c r="D346" s="53"/>
      <c r="E346" s="35"/>
      <c r="F346" s="54"/>
      <c r="G346" s="51"/>
      <c r="H346" s="6"/>
      <c r="J346" s="8"/>
      <c r="M346" s="55"/>
    </row>
    <row r="347" spans="1:13" ht="15.75" customHeight="1">
      <c r="A347" s="51"/>
      <c r="B347" s="51"/>
      <c r="C347" s="52"/>
      <c r="D347" s="53"/>
      <c r="E347" s="35"/>
      <c r="F347" s="54"/>
      <c r="G347" s="51"/>
      <c r="H347" s="6"/>
      <c r="J347" s="8"/>
      <c r="M347" s="55"/>
    </row>
    <row r="348" spans="1:13" ht="15.75" customHeight="1">
      <c r="A348" s="51"/>
      <c r="B348" s="51"/>
      <c r="C348" s="52"/>
      <c r="D348" s="53"/>
      <c r="E348" s="35"/>
      <c r="F348" s="54"/>
      <c r="G348" s="51"/>
      <c r="H348" s="6"/>
      <c r="J348" s="8"/>
      <c r="M348" s="55"/>
    </row>
    <row r="349" spans="1:13" ht="15.75" customHeight="1">
      <c r="A349" s="51"/>
      <c r="B349" s="51"/>
      <c r="C349" s="52"/>
      <c r="D349" s="53"/>
      <c r="E349" s="35"/>
      <c r="F349" s="54"/>
      <c r="G349" s="51"/>
      <c r="H349" s="6"/>
      <c r="J349" s="8"/>
      <c r="M349" s="55"/>
    </row>
    <row r="350" spans="1:13" ht="15.75" customHeight="1">
      <c r="A350" s="51"/>
      <c r="B350" s="51"/>
      <c r="C350" s="52"/>
      <c r="D350" s="53"/>
      <c r="E350" s="35"/>
      <c r="F350" s="54"/>
      <c r="G350" s="51"/>
      <c r="H350" s="6"/>
      <c r="J350" s="8"/>
      <c r="M350" s="55"/>
    </row>
    <row r="351" spans="1:13" ht="15.75" customHeight="1">
      <c r="A351" s="51"/>
      <c r="B351" s="51"/>
      <c r="C351" s="52"/>
      <c r="D351" s="53"/>
      <c r="E351" s="35"/>
      <c r="F351" s="54"/>
      <c r="G351" s="51"/>
      <c r="H351" s="6"/>
      <c r="J351" s="8"/>
      <c r="M351" s="55"/>
    </row>
    <row r="352" spans="1:13" ht="15.75" customHeight="1">
      <c r="A352" s="51"/>
      <c r="B352" s="51"/>
      <c r="C352" s="52"/>
      <c r="D352" s="53"/>
      <c r="E352" s="35"/>
      <c r="F352" s="54"/>
      <c r="G352" s="51"/>
      <c r="H352" s="6"/>
      <c r="J352" s="8"/>
      <c r="M352" s="55"/>
    </row>
    <row r="353" spans="1:13" ht="15.75" customHeight="1">
      <c r="A353" s="51"/>
      <c r="B353" s="51"/>
      <c r="C353" s="52"/>
      <c r="D353" s="53"/>
      <c r="E353" s="35"/>
      <c r="F353" s="54"/>
      <c r="G353" s="51"/>
      <c r="H353" s="6"/>
      <c r="J353" s="8"/>
      <c r="M353" s="55"/>
    </row>
    <row r="354" spans="1:13" ht="15.75" customHeight="1">
      <c r="A354" s="51"/>
      <c r="B354" s="51"/>
      <c r="C354" s="52"/>
      <c r="D354" s="53"/>
      <c r="E354" s="35"/>
      <c r="F354" s="54"/>
      <c r="G354" s="51"/>
      <c r="H354" s="6"/>
      <c r="J354" s="8"/>
      <c r="M354" s="55"/>
    </row>
    <row r="355" spans="1:13" ht="15.75" customHeight="1">
      <c r="A355" s="51"/>
      <c r="B355" s="51"/>
      <c r="C355" s="52"/>
      <c r="D355" s="53"/>
      <c r="E355" s="35"/>
      <c r="F355" s="54"/>
      <c r="G355" s="51"/>
      <c r="H355" s="6"/>
      <c r="J355" s="8"/>
      <c r="M355" s="55"/>
    </row>
    <row r="356" spans="1:13" ht="15.75" customHeight="1">
      <c r="A356" s="51"/>
      <c r="B356" s="51"/>
      <c r="C356" s="52"/>
      <c r="D356" s="53"/>
      <c r="E356" s="35"/>
      <c r="F356" s="54"/>
      <c r="G356" s="51"/>
      <c r="H356" s="6"/>
      <c r="J356" s="8"/>
      <c r="M356" s="55"/>
    </row>
    <row r="357" spans="1:13" ht="15.75" customHeight="1">
      <c r="A357" s="51"/>
      <c r="B357" s="51"/>
      <c r="C357" s="52"/>
      <c r="D357" s="53"/>
      <c r="E357" s="35"/>
      <c r="F357" s="54"/>
      <c r="G357" s="51"/>
      <c r="H357" s="6"/>
      <c r="J357" s="8"/>
      <c r="M357" s="55"/>
    </row>
    <row r="358" spans="1:13" ht="15.75" customHeight="1">
      <c r="A358" s="51"/>
      <c r="B358" s="51"/>
      <c r="C358" s="52"/>
      <c r="D358" s="53"/>
      <c r="E358" s="35"/>
      <c r="F358" s="54"/>
      <c r="G358" s="51"/>
      <c r="H358" s="6"/>
      <c r="J358" s="8"/>
      <c r="M358" s="55"/>
    </row>
    <row r="359" spans="1:13" ht="15.75" customHeight="1">
      <c r="A359" s="51"/>
      <c r="B359" s="51"/>
      <c r="C359" s="52"/>
      <c r="D359" s="53"/>
      <c r="E359" s="35"/>
      <c r="F359" s="54"/>
      <c r="G359" s="51"/>
      <c r="H359" s="6"/>
      <c r="J359" s="8"/>
      <c r="M359" s="55"/>
    </row>
    <row r="360" spans="1:13" ht="15.75" customHeight="1">
      <c r="A360" s="51"/>
      <c r="B360" s="51"/>
      <c r="C360" s="52"/>
      <c r="D360" s="53"/>
      <c r="E360" s="35"/>
      <c r="F360" s="54"/>
      <c r="G360" s="51"/>
      <c r="H360" s="6"/>
      <c r="J360" s="8"/>
      <c r="M360" s="55"/>
    </row>
    <row r="361" spans="1:13" ht="15.75" customHeight="1">
      <c r="A361" s="51"/>
      <c r="B361" s="51"/>
      <c r="C361" s="52"/>
      <c r="D361" s="53"/>
      <c r="E361" s="35"/>
      <c r="F361" s="54"/>
      <c r="G361" s="51"/>
      <c r="H361" s="6"/>
      <c r="J361" s="8"/>
      <c r="M361" s="55"/>
    </row>
    <row r="362" spans="1:13" ht="15.75" customHeight="1">
      <c r="A362" s="51"/>
      <c r="B362" s="51"/>
      <c r="C362" s="52"/>
      <c r="D362" s="53"/>
      <c r="E362" s="35"/>
      <c r="F362" s="54"/>
      <c r="G362" s="51"/>
      <c r="H362" s="6"/>
      <c r="J362" s="8"/>
      <c r="M362" s="55"/>
    </row>
    <row r="363" spans="1:13" ht="15.75" customHeight="1">
      <c r="A363" s="51"/>
      <c r="B363" s="51"/>
      <c r="C363" s="52"/>
      <c r="D363" s="53"/>
      <c r="E363" s="35"/>
      <c r="F363" s="54"/>
      <c r="G363" s="51"/>
      <c r="H363" s="6"/>
      <c r="J363" s="8"/>
      <c r="M363" s="55"/>
    </row>
    <row r="364" spans="1:13" ht="15.75" customHeight="1">
      <c r="A364" s="51"/>
      <c r="B364" s="51"/>
      <c r="C364" s="52"/>
      <c r="D364" s="53"/>
      <c r="E364" s="35"/>
      <c r="F364" s="54"/>
      <c r="G364" s="51"/>
      <c r="H364" s="6"/>
      <c r="J364" s="8"/>
      <c r="M364" s="55"/>
    </row>
    <row r="365" spans="1:13" ht="15.75" customHeight="1">
      <c r="A365" s="51"/>
      <c r="B365" s="51"/>
      <c r="C365" s="52"/>
      <c r="D365" s="53"/>
      <c r="E365" s="35"/>
      <c r="F365" s="54"/>
      <c r="G365" s="51"/>
      <c r="H365" s="6"/>
      <c r="J365" s="8"/>
      <c r="M365" s="55"/>
    </row>
    <row r="366" spans="1:13" ht="15.75" customHeight="1">
      <c r="A366" s="51"/>
      <c r="B366" s="51"/>
      <c r="C366" s="52"/>
      <c r="D366" s="53"/>
      <c r="E366" s="35"/>
      <c r="F366" s="54"/>
      <c r="G366" s="51"/>
      <c r="H366" s="6"/>
      <c r="J366" s="8"/>
      <c r="M366" s="55"/>
    </row>
    <row r="367" spans="1:13" ht="15.75" customHeight="1">
      <c r="A367" s="51"/>
      <c r="B367" s="51"/>
      <c r="C367" s="52"/>
      <c r="D367" s="53"/>
      <c r="E367" s="35"/>
      <c r="F367" s="54"/>
      <c r="G367" s="51"/>
      <c r="H367" s="6"/>
      <c r="J367" s="8"/>
      <c r="M367" s="55"/>
    </row>
    <row r="368" spans="1:13" ht="15.75" customHeight="1">
      <c r="A368" s="51"/>
      <c r="B368" s="51"/>
      <c r="C368" s="52"/>
      <c r="D368" s="53"/>
      <c r="E368" s="35"/>
      <c r="F368" s="54"/>
      <c r="G368" s="51"/>
      <c r="H368" s="6"/>
      <c r="J368" s="8"/>
      <c r="M368" s="55"/>
    </row>
    <row r="369" spans="1:13" ht="15.75" customHeight="1">
      <c r="A369" s="51"/>
      <c r="B369" s="51"/>
      <c r="C369" s="52"/>
      <c r="D369" s="53"/>
      <c r="E369" s="35"/>
      <c r="F369" s="54"/>
      <c r="G369" s="51"/>
      <c r="H369" s="6"/>
      <c r="J369" s="8"/>
      <c r="M369" s="55"/>
    </row>
    <row r="370" spans="1:13" ht="15.75" customHeight="1">
      <c r="A370" s="51"/>
      <c r="B370" s="51"/>
      <c r="C370" s="52"/>
      <c r="D370" s="53"/>
      <c r="E370" s="35"/>
      <c r="F370" s="54"/>
      <c r="G370" s="51"/>
      <c r="H370" s="6"/>
      <c r="J370" s="8"/>
      <c r="M370" s="55"/>
    </row>
    <row r="371" spans="1:13" ht="15.75" customHeight="1">
      <c r="A371" s="51"/>
      <c r="B371" s="51"/>
      <c r="C371" s="52"/>
      <c r="D371" s="53"/>
      <c r="E371" s="35"/>
      <c r="F371" s="54"/>
      <c r="G371" s="51"/>
      <c r="H371" s="6"/>
      <c r="J371" s="8"/>
      <c r="M371" s="55"/>
    </row>
    <row r="372" spans="1:13" ht="15.75" customHeight="1">
      <c r="A372" s="51"/>
      <c r="B372" s="51"/>
      <c r="C372" s="52"/>
      <c r="D372" s="53"/>
      <c r="E372" s="35"/>
      <c r="F372" s="54"/>
      <c r="G372" s="51"/>
      <c r="H372" s="6"/>
      <c r="J372" s="8"/>
      <c r="M372" s="55"/>
    </row>
    <row r="373" spans="1:13" ht="15.75" customHeight="1">
      <c r="A373" s="51"/>
      <c r="B373" s="51"/>
      <c r="C373" s="52"/>
      <c r="D373" s="53"/>
      <c r="E373" s="35"/>
      <c r="F373" s="54"/>
      <c r="G373" s="51"/>
      <c r="H373" s="6"/>
      <c r="J373" s="8"/>
      <c r="M373" s="55"/>
    </row>
    <row r="374" spans="1:13" ht="15.75" customHeight="1">
      <c r="A374" s="51"/>
      <c r="B374" s="51"/>
      <c r="C374" s="52"/>
      <c r="D374" s="53"/>
      <c r="E374" s="35"/>
      <c r="F374" s="54"/>
      <c r="G374" s="51"/>
      <c r="H374" s="6"/>
      <c r="J374" s="8"/>
      <c r="M374" s="55"/>
    </row>
    <row r="375" spans="1:13" ht="15.75" customHeight="1">
      <c r="A375" s="51"/>
      <c r="B375" s="51"/>
      <c r="C375" s="52"/>
      <c r="D375" s="53"/>
      <c r="E375" s="35"/>
      <c r="F375" s="54"/>
      <c r="G375" s="51"/>
      <c r="H375" s="6"/>
      <c r="J375" s="8"/>
      <c r="M375" s="55"/>
    </row>
    <row r="376" spans="1:13" ht="15.75" customHeight="1">
      <c r="A376" s="51"/>
      <c r="B376" s="51"/>
      <c r="C376" s="52"/>
      <c r="D376" s="53"/>
      <c r="E376" s="35"/>
      <c r="F376" s="54"/>
      <c r="G376" s="51"/>
      <c r="H376" s="6"/>
      <c r="J376" s="8"/>
      <c r="M376" s="55"/>
    </row>
    <row r="377" spans="1:13" ht="15.75" customHeight="1">
      <c r="A377" s="51"/>
      <c r="B377" s="51"/>
      <c r="C377" s="52"/>
      <c r="D377" s="53"/>
      <c r="E377" s="35"/>
      <c r="F377" s="54"/>
      <c r="G377" s="51"/>
      <c r="H377" s="6"/>
      <c r="J377" s="8"/>
      <c r="M377" s="55"/>
    </row>
    <row r="378" spans="1:13" ht="15.75" customHeight="1">
      <c r="A378" s="51"/>
      <c r="B378" s="51"/>
      <c r="C378" s="52"/>
      <c r="D378" s="53"/>
      <c r="E378" s="35"/>
      <c r="F378" s="54"/>
      <c r="G378" s="51"/>
      <c r="H378" s="6"/>
      <c r="J378" s="8"/>
      <c r="M378" s="55"/>
    </row>
    <row r="379" spans="1:13" ht="15.75" customHeight="1">
      <c r="A379" s="51"/>
      <c r="B379" s="51"/>
      <c r="C379" s="52"/>
      <c r="D379" s="53"/>
      <c r="E379" s="35"/>
      <c r="F379" s="54"/>
      <c r="G379" s="51"/>
      <c r="H379" s="6"/>
      <c r="J379" s="8"/>
      <c r="M379" s="55"/>
    </row>
    <row r="380" spans="1:13" ht="15.75" customHeight="1">
      <c r="A380" s="51"/>
      <c r="B380" s="51"/>
      <c r="C380" s="52"/>
      <c r="D380" s="53"/>
      <c r="E380" s="35"/>
      <c r="F380" s="54"/>
      <c r="G380" s="51"/>
      <c r="H380" s="6"/>
      <c r="J380" s="8"/>
      <c r="M380" s="55"/>
    </row>
    <row r="381" spans="1:13" ht="15.75" customHeight="1">
      <c r="A381" s="51"/>
      <c r="B381" s="51"/>
      <c r="C381" s="52"/>
      <c r="D381" s="53"/>
      <c r="E381" s="35"/>
      <c r="F381" s="54"/>
      <c r="G381" s="51"/>
      <c r="H381" s="6"/>
      <c r="J381" s="8"/>
      <c r="M381" s="55"/>
    </row>
    <row r="382" spans="1:13" ht="15.75" customHeight="1">
      <c r="A382" s="51"/>
      <c r="B382" s="51"/>
      <c r="C382" s="52"/>
      <c r="D382" s="53"/>
      <c r="E382" s="35"/>
      <c r="F382" s="54"/>
      <c r="G382" s="51"/>
      <c r="H382" s="6"/>
      <c r="J382" s="8"/>
      <c r="M382" s="55"/>
    </row>
    <row r="383" spans="1:13" ht="15.75" customHeight="1">
      <c r="A383" s="51"/>
      <c r="B383" s="51"/>
      <c r="C383" s="52"/>
      <c r="D383" s="53"/>
      <c r="E383" s="35"/>
      <c r="F383" s="54"/>
      <c r="G383" s="51"/>
      <c r="H383" s="6"/>
      <c r="J383" s="8"/>
      <c r="M383" s="55"/>
    </row>
    <row r="384" spans="1:13" ht="15.75" customHeight="1">
      <c r="A384" s="51"/>
      <c r="B384" s="51"/>
      <c r="C384" s="52"/>
      <c r="D384" s="53"/>
      <c r="E384" s="35"/>
      <c r="F384" s="54"/>
      <c r="G384" s="51"/>
      <c r="H384" s="6"/>
      <c r="J384" s="8"/>
      <c r="M384" s="55"/>
    </row>
    <row r="385" spans="1:13" ht="15.75" customHeight="1">
      <c r="A385" s="51"/>
      <c r="B385" s="51"/>
      <c r="C385" s="52"/>
      <c r="D385" s="53"/>
      <c r="E385" s="35"/>
      <c r="F385" s="54"/>
      <c r="G385" s="51"/>
      <c r="H385" s="6"/>
      <c r="J385" s="8"/>
      <c r="M385" s="55"/>
    </row>
    <row r="386" spans="1:13" ht="15.75" customHeight="1">
      <c r="A386" s="51"/>
      <c r="B386" s="51"/>
      <c r="C386" s="52"/>
      <c r="D386" s="53"/>
      <c r="E386" s="35"/>
      <c r="F386" s="54"/>
      <c r="G386" s="51"/>
      <c r="H386" s="6"/>
      <c r="J386" s="8"/>
      <c r="M386" s="55"/>
    </row>
    <row r="387" spans="1:13" ht="15.75" customHeight="1">
      <c r="A387" s="51"/>
      <c r="B387" s="51"/>
      <c r="C387" s="52"/>
      <c r="D387" s="53"/>
      <c r="E387" s="35"/>
      <c r="F387" s="54"/>
      <c r="G387" s="51"/>
      <c r="H387" s="6"/>
      <c r="J387" s="8"/>
      <c r="M387" s="55"/>
    </row>
    <row r="388" spans="1:13" ht="15.75" customHeight="1">
      <c r="A388" s="51"/>
      <c r="B388" s="51"/>
      <c r="C388" s="52"/>
      <c r="D388" s="53"/>
      <c r="E388" s="35"/>
      <c r="F388" s="54"/>
      <c r="G388" s="51"/>
      <c r="H388" s="6"/>
      <c r="J388" s="8"/>
      <c r="M388" s="55"/>
    </row>
    <row r="389" spans="1:13" ht="15.75" customHeight="1">
      <c r="A389" s="51"/>
      <c r="B389" s="51"/>
      <c r="C389" s="52"/>
      <c r="D389" s="53"/>
      <c r="E389" s="35"/>
      <c r="F389" s="54"/>
      <c r="G389" s="51"/>
      <c r="H389" s="6"/>
      <c r="J389" s="8"/>
      <c r="M389" s="55"/>
    </row>
    <row r="390" spans="1:13" ht="15.75" customHeight="1">
      <c r="A390" s="51"/>
      <c r="B390" s="51"/>
      <c r="C390" s="52"/>
      <c r="D390" s="53"/>
      <c r="E390" s="35"/>
      <c r="F390" s="54"/>
      <c r="G390" s="51"/>
      <c r="H390" s="6"/>
      <c r="J390" s="8"/>
      <c r="M390" s="55"/>
    </row>
    <row r="391" spans="1:13" ht="15.75" customHeight="1">
      <c r="A391" s="51"/>
      <c r="B391" s="51"/>
      <c r="C391" s="52"/>
      <c r="D391" s="53"/>
      <c r="E391" s="35"/>
      <c r="F391" s="54"/>
      <c r="G391" s="51"/>
      <c r="H391" s="6"/>
      <c r="J391" s="8"/>
      <c r="M391" s="55"/>
    </row>
    <row r="392" spans="1:13" ht="15.75" customHeight="1">
      <c r="A392" s="51"/>
      <c r="B392" s="51"/>
      <c r="C392" s="52"/>
      <c r="D392" s="53"/>
      <c r="E392" s="35"/>
      <c r="F392" s="54"/>
      <c r="G392" s="51"/>
      <c r="H392" s="6"/>
      <c r="J392" s="8"/>
      <c r="M392" s="55"/>
    </row>
    <row r="393" spans="1:13" ht="15.75" customHeight="1">
      <c r="A393" s="51"/>
      <c r="B393" s="51"/>
      <c r="C393" s="52"/>
      <c r="D393" s="53"/>
      <c r="E393" s="35"/>
      <c r="F393" s="54"/>
      <c r="G393" s="51"/>
      <c r="H393" s="6"/>
      <c r="J393" s="8"/>
      <c r="M393" s="55"/>
    </row>
    <row r="394" spans="1:13" ht="15.75" customHeight="1">
      <c r="A394" s="51"/>
      <c r="B394" s="51"/>
      <c r="C394" s="52"/>
      <c r="D394" s="53"/>
      <c r="E394" s="35"/>
      <c r="F394" s="54"/>
      <c r="G394" s="51"/>
      <c r="H394" s="6"/>
      <c r="J394" s="8"/>
      <c r="M394" s="55"/>
    </row>
    <row r="395" spans="1:13" ht="15.75" customHeight="1">
      <c r="A395" s="51"/>
      <c r="B395" s="51"/>
      <c r="C395" s="52"/>
      <c r="D395" s="53"/>
      <c r="E395" s="35"/>
      <c r="F395" s="54"/>
      <c r="G395" s="51"/>
      <c r="H395" s="6"/>
      <c r="J395" s="8"/>
      <c r="M395" s="55"/>
    </row>
    <row r="396" spans="1:13" ht="15.75" customHeight="1">
      <c r="A396" s="51"/>
      <c r="B396" s="51"/>
      <c r="C396" s="52"/>
      <c r="D396" s="53"/>
      <c r="E396" s="35"/>
      <c r="F396" s="54"/>
      <c r="G396" s="51"/>
      <c r="H396" s="6"/>
      <c r="J396" s="8"/>
      <c r="M396" s="55"/>
    </row>
    <row r="397" spans="1:13" ht="15.75" customHeight="1">
      <c r="A397" s="51"/>
      <c r="B397" s="51"/>
      <c r="C397" s="52"/>
      <c r="D397" s="53"/>
      <c r="E397" s="35"/>
      <c r="F397" s="54"/>
      <c r="G397" s="51"/>
      <c r="H397" s="6"/>
      <c r="J397" s="8"/>
      <c r="M397" s="55"/>
    </row>
    <row r="398" spans="1:13" ht="15.75" customHeight="1">
      <c r="A398" s="51"/>
      <c r="B398" s="51"/>
      <c r="C398" s="52"/>
      <c r="D398" s="53"/>
      <c r="E398" s="35"/>
      <c r="F398" s="54"/>
      <c r="G398" s="51"/>
      <c r="H398" s="6"/>
      <c r="J398" s="8"/>
      <c r="M398" s="55"/>
    </row>
    <row r="399" spans="1:13" ht="15.75" customHeight="1">
      <c r="A399" s="51"/>
      <c r="B399" s="51"/>
      <c r="C399" s="52"/>
      <c r="D399" s="53"/>
      <c r="E399" s="35"/>
      <c r="F399" s="54"/>
      <c r="G399" s="51"/>
      <c r="H399" s="6"/>
      <c r="J399" s="8"/>
      <c r="M399" s="55"/>
    </row>
    <row r="400" spans="1:13" ht="15.75" customHeight="1">
      <c r="A400" s="51"/>
      <c r="B400" s="51"/>
      <c r="C400" s="52"/>
      <c r="D400" s="53"/>
      <c r="E400" s="35"/>
      <c r="F400" s="54"/>
      <c r="G400" s="51"/>
      <c r="H400" s="6"/>
      <c r="J400" s="8"/>
      <c r="M400" s="55"/>
    </row>
    <row r="401" spans="1:13" ht="15.75" customHeight="1">
      <c r="A401" s="51"/>
      <c r="B401" s="51"/>
      <c r="C401" s="52"/>
      <c r="D401" s="53"/>
      <c r="E401" s="35"/>
      <c r="F401" s="54"/>
      <c r="G401" s="51"/>
      <c r="H401" s="6"/>
      <c r="J401" s="8"/>
      <c r="M401" s="55"/>
    </row>
    <row r="402" spans="1:13" ht="15.75" customHeight="1">
      <c r="A402" s="51"/>
      <c r="B402" s="51"/>
      <c r="C402" s="52"/>
      <c r="D402" s="53"/>
      <c r="E402" s="35"/>
      <c r="F402" s="54"/>
      <c r="G402" s="51"/>
      <c r="H402" s="6"/>
      <c r="J402" s="8"/>
      <c r="M402" s="55"/>
    </row>
    <row r="403" spans="1:13" ht="15.75" customHeight="1">
      <c r="A403" s="51"/>
      <c r="B403" s="51"/>
      <c r="C403" s="52"/>
      <c r="D403" s="53"/>
      <c r="E403" s="35"/>
      <c r="F403" s="54"/>
      <c r="G403" s="51"/>
      <c r="H403" s="6"/>
      <c r="J403" s="8"/>
      <c r="M403" s="55"/>
    </row>
    <row r="404" spans="1:13" ht="15.75" customHeight="1">
      <c r="A404" s="51"/>
      <c r="B404" s="51"/>
      <c r="C404" s="52"/>
      <c r="D404" s="53"/>
      <c r="E404" s="35"/>
      <c r="F404" s="54"/>
      <c r="G404" s="51"/>
      <c r="H404" s="6"/>
      <c r="J404" s="8"/>
      <c r="M404" s="55"/>
    </row>
    <row r="405" spans="1:13" ht="15.75" customHeight="1">
      <c r="A405" s="51"/>
      <c r="B405" s="51"/>
      <c r="C405" s="52"/>
      <c r="D405" s="53"/>
      <c r="E405" s="35"/>
      <c r="F405" s="54"/>
      <c r="G405" s="51"/>
      <c r="H405" s="6"/>
      <c r="J405" s="8"/>
      <c r="M405" s="55"/>
    </row>
    <row r="406" spans="1:13" ht="15.75" customHeight="1">
      <c r="A406" s="51"/>
      <c r="B406" s="51"/>
      <c r="C406" s="52"/>
      <c r="D406" s="53"/>
      <c r="E406" s="35"/>
      <c r="F406" s="54"/>
      <c r="G406" s="51"/>
      <c r="H406" s="6"/>
      <c r="J406" s="8"/>
      <c r="M406" s="55"/>
    </row>
    <row r="407" spans="1:13" ht="15.75" customHeight="1">
      <c r="A407" s="51"/>
      <c r="B407" s="51"/>
      <c r="C407" s="52"/>
      <c r="D407" s="53"/>
      <c r="E407" s="35"/>
      <c r="F407" s="54"/>
      <c r="G407" s="51"/>
      <c r="H407" s="6"/>
      <c r="J407" s="8"/>
      <c r="M407" s="55"/>
    </row>
    <row r="408" spans="1:13" ht="15.75" customHeight="1">
      <c r="A408" s="51"/>
      <c r="B408" s="51"/>
      <c r="C408" s="52"/>
      <c r="D408" s="53"/>
      <c r="E408" s="35"/>
      <c r="F408" s="54"/>
      <c r="G408" s="51"/>
      <c r="H408" s="6"/>
      <c r="J408" s="8"/>
      <c r="M408" s="55"/>
    </row>
    <row r="409" spans="1:13" ht="15.75" customHeight="1">
      <c r="A409" s="51"/>
      <c r="B409" s="51"/>
      <c r="C409" s="52"/>
      <c r="D409" s="53"/>
      <c r="E409" s="35"/>
      <c r="F409" s="54"/>
      <c r="G409" s="51"/>
      <c r="H409" s="6"/>
      <c r="J409" s="8"/>
      <c r="M409" s="55"/>
    </row>
    <row r="410" spans="1:13" ht="15.75" customHeight="1">
      <c r="A410" s="51"/>
      <c r="B410" s="51"/>
      <c r="C410" s="52"/>
      <c r="D410" s="53"/>
      <c r="E410" s="35"/>
      <c r="F410" s="54"/>
      <c r="G410" s="51"/>
      <c r="H410" s="6"/>
      <c r="J410" s="8"/>
      <c r="M410" s="55"/>
    </row>
    <row r="411" spans="1:13" ht="15.75" customHeight="1">
      <c r="A411" s="51"/>
      <c r="B411" s="51"/>
      <c r="C411" s="52"/>
      <c r="D411" s="53"/>
      <c r="E411" s="35"/>
      <c r="F411" s="54"/>
      <c r="G411" s="51"/>
      <c r="H411" s="6"/>
      <c r="J411" s="8"/>
      <c r="M411" s="55"/>
    </row>
    <row r="412" spans="1:13" ht="15.75" customHeight="1">
      <c r="A412" s="51"/>
      <c r="B412" s="51"/>
      <c r="C412" s="52"/>
      <c r="D412" s="53"/>
      <c r="E412" s="35"/>
      <c r="F412" s="54"/>
      <c r="G412" s="51"/>
      <c r="H412" s="6"/>
      <c r="J412" s="8"/>
      <c r="M412" s="55"/>
    </row>
    <row r="413" spans="1:13" ht="15.75" customHeight="1">
      <c r="A413" s="51"/>
      <c r="B413" s="51"/>
      <c r="C413" s="52"/>
      <c r="D413" s="53"/>
      <c r="E413" s="35"/>
      <c r="F413" s="54"/>
      <c r="G413" s="51"/>
      <c r="H413" s="6"/>
      <c r="J413" s="8"/>
      <c r="M413" s="55"/>
    </row>
    <row r="414" spans="1:13" ht="15.75" customHeight="1">
      <c r="A414" s="51"/>
      <c r="B414" s="51"/>
      <c r="C414" s="52"/>
      <c r="D414" s="53"/>
      <c r="E414" s="35"/>
      <c r="F414" s="54"/>
      <c r="G414" s="51"/>
      <c r="H414" s="6"/>
      <c r="J414" s="8"/>
      <c r="M414" s="55"/>
    </row>
    <row r="415" spans="1:13" ht="15.75" customHeight="1">
      <c r="A415" s="51"/>
      <c r="B415" s="51"/>
      <c r="C415" s="52"/>
      <c r="D415" s="53"/>
      <c r="E415" s="35"/>
      <c r="F415" s="54"/>
      <c r="G415" s="51"/>
      <c r="H415" s="6"/>
      <c r="J415" s="8"/>
      <c r="M415" s="55"/>
    </row>
    <row r="416" spans="1:13" ht="15.75" customHeight="1">
      <c r="A416" s="51"/>
      <c r="B416" s="51"/>
      <c r="C416" s="52"/>
      <c r="D416" s="53"/>
      <c r="E416" s="35"/>
      <c r="F416" s="54"/>
      <c r="G416" s="51"/>
      <c r="H416" s="6"/>
      <c r="J416" s="8"/>
      <c r="M416" s="55"/>
    </row>
    <row r="417" spans="1:13" ht="15.75" customHeight="1">
      <c r="A417" s="51"/>
      <c r="B417" s="51"/>
      <c r="C417" s="52"/>
      <c r="D417" s="53"/>
      <c r="E417" s="35"/>
      <c r="F417" s="54"/>
      <c r="G417" s="51"/>
      <c r="H417" s="6"/>
      <c r="J417" s="8"/>
      <c r="M417" s="55"/>
    </row>
    <row r="418" spans="1:13" ht="15.75" customHeight="1">
      <c r="A418" s="51"/>
      <c r="B418" s="51"/>
      <c r="C418" s="52"/>
      <c r="D418" s="53"/>
      <c r="E418" s="35"/>
      <c r="F418" s="54"/>
      <c r="G418" s="51"/>
      <c r="H418" s="6"/>
      <c r="J418" s="8"/>
      <c r="M418" s="55"/>
    </row>
    <row r="419" spans="1:13" ht="15.75" customHeight="1">
      <c r="A419" s="51"/>
      <c r="B419" s="51"/>
      <c r="C419" s="52"/>
      <c r="D419" s="53"/>
      <c r="E419" s="35"/>
      <c r="F419" s="54"/>
      <c r="G419" s="51"/>
      <c r="H419" s="6"/>
      <c r="J419" s="8"/>
      <c r="M419" s="55"/>
    </row>
    <row r="420" spans="1:13" ht="15.75" customHeight="1">
      <c r="A420" s="51"/>
      <c r="B420" s="51"/>
      <c r="C420" s="52"/>
      <c r="D420" s="53"/>
      <c r="E420" s="35"/>
      <c r="F420" s="54"/>
      <c r="G420" s="51"/>
      <c r="H420" s="6"/>
      <c r="J420" s="8"/>
      <c r="M420" s="55"/>
    </row>
    <row r="421" spans="1:13" ht="15.75" customHeight="1">
      <c r="A421" s="51"/>
      <c r="B421" s="51"/>
      <c r="C421" s="52"/>
      <c r="D421" s="53"/>
      <c r="E421" s="35"/>
      <c r="F421" s="54"/>
      <c r="G421" s="51"/>
      <c r="H421" s="6"/>
      <c r="J421" s="8"/>
      <c r="M421" s="55"/>
    </row>
    <row r="422" spans="1:13" ht="15.75" customHeight="1">
      <c r="A422" s="51"/>
      <c r="B422" s="51"/>
      <c r="C422" s="52"/>
      <c r="D422" s="53"/>
      <c r="E422" s="35"/>
      <c r="F422" s="54"/>
      <c r="G422" s="51"/>
      <c r="H422" s="6"/>
      <c r="J422" s="8"/>
      <c r="M422" s="55"/>
    </row>
    <row r="423" spans="1:13" ht="15.75" customHeight="1">
      <c r="A423" s="51"/>
      <c r="B423" s="51"/>
      <c r="C423" s="52"/>
      <c r="D423" s="53"/>
      <c r="E423" s="35"/>
      <c r="F423" s="54"/>
      <c r="G423" s="51"/>
      <c r="H423" s="6"/>
      <c r="J423" s="8"/>
      <c r="M423" s="55"/>
    </row>
    <row r="424" spans="1:13" ht="15.75" customHeight="1">
      <c r="A424" s="51"/>
      <c r="B424" s="51"/>
      <c r="C424" s="52"/>
      <c r="D424" s="53"/>
      <c r="E424" s="35"/>
      <c r="F424" s="54"/>
      <c r="G424" s="51"/>
      <c r="H424" s="6"/>
      <c r="J424" s="8"/>
      <c r="M424" s="55"/>
    </row>
    <row r="425" spans="1:13" ht="15.75" customHeight="1">
      <c r="A425" s="51"/>
      <c r="B425" s="51"/>
      <c r="C425" s="52"/>
      <c r="D425" s="53"/>
      <c r="E425" s="35"/>
      <c r="F425" s="54"/>
      <c r="G425" s="51"/>
      <c r="H425" s="6"/>
      <c r="J425" s="8"/>
      <c r="M425" s="55"/>
    </row>
    <row r="426" spans="1:13" ht="15.75" customHeight="1">
      <c r="A426" s="51"/>
      <c r="B426" s="51"/>
      <c r="C426" s="52"/>
      <c r="D426" s="53"/>
      <c r="E426" s="35"/>
      <c r="F426" s="54"/>
      <c r="G426" s="51"/>
      <c r="H426" s="6"/>
      <c r="J426" s="8"/>
      <c r="M426" s="55"/>
    </row>
    <row r="427" spans="1:13" ht="15.75" customHeight="1">
      <c r="A427" s="51"/>
      <c r="B427" s="51"/>
      <c r="C427" s="52"/>
      <c r="D427" s="53"/>
      <c r="E427" s="35"/>
      <c r="F427" s="54"/>
      <c r="G427" s="51"/>
      <c r="H427" s="6"/>
      <c r="J427" s="8"/>
      <c r="M427" s="55"/>
    </row>
    <row r="428" spans="1:13" ht="15.75" customHeight="1">
      <c r="A428" s="51"/>
      <c r="B428" s="51"/>
      <c r="C428" s="52"/>
      <c r="D428" s="53"/>
      <c r="E428" s="35"/>
      <c r="F428" s="54"/>
      <c r="G428" s="51"/>
      <c r="H428" s="6"/>
      <c r="J428" s="8"/>
      <c r="M428" s="55"/>
    </row>
    <row r="429" spans="1:13" ht="15.75" customHeight="1">
      <c r="A429" s="51"/>
      <c r="B429" s="51"/>
      <c r="C429" s="52"/>
      <c r="D429" s="53"/>
      <c r="E429" s="35"/>
      <c r="F429" s="54"/>
      <c r="G429" s="51"/>
      <c r="H429" s="6"/>
      <c r="J429" s="8"/>
      <c r="M429" s="55"/>
    </row>
    <row r="430" spans="1:13" ht="15.75" customHeight="1">
      <c r="A430" s="51"/>
      <c r="B430" s="51"/>
      <c r="C430" s="52"/>
      <c r="D430" s="53"/>
      <c r="E430" s="35"/>
      <c r="F430" s="54"/>
      <c r="G430" s="51"/>
      <c r="H430" s="6"/>
      <c r="J430" s="8"/>
      <c r="M430" s="55"/>
    </row>
    <row r="431" spans="1:13" ht="15.75" customHeight="1">
      <c r="A431" s="51"/>
      <c r="B431" s="51"/>
      <c r="C431" s="52"/>
      <c r="D431" s="53"/>
      <c r="E431" s="35"/>
      <c r="F431" s="54"/>
      <c r="G431" s="51"/>
      <c r="H431" s="6"/>
      <c r="J431" s="8"/>
      <c r="M431" s="55"/>
    </row>
    <row r="432" spans="1:13" ht="15.75" customHeight="1">
      <c r="A432" s="51"/>
      <c r="B432" s="51"/>
      <c r="C432" s="52"/>
      <c r="D432" s="53"/>
      <c r="E432" s="35"/>
      <c r="F432" s="54"/>
      <c r="G432" s="51"/>
      <c r="H432" s="6"/>
      <c r="J432" s="8"/>
      <c r="M432" s="55"/>
    </row>
    <row r="433" spans="1:13" ht="15.75" customHeight="1">
      <c r="A433" s="51"/>
      <c r="B433" s="51"/>
      <c r="C433" s="52"/>
      <c r="D433" s="53"/>
      <c r="E433" s="35"/>
      <c r="F433" s="54"/>
      <c r="G433" s="51"/>
      <c r="H433" s="6"/>
      <c r="J433" s="8"/>
      <c r="M433" s="55"/>
    </row>
    <row r="434" spans="1:13" ht="15.75" customHeight="1">
      <c r="A434" s="51"/>
      <c r="B434" s="51"/>
      <c r="C434" s="52"/>
      <c r="D434" s="53"/>
      <c r="E434" s="35"/>
      <c r="F434" s="54"/>
      <c r="G434" s="51"/>
      <c r="H434" s="6"/>
      <c r="J434" s="8"/>
      <c r="M434" s="55"/>
    </row>
    <row r="435" spans="1:13" ht="15.75" customHeight="1">
      <c r="A435" s="51"/>
      <c r="B435" s="51"/>
      <c r="C435" s="52"/>
      <c r="D435" s="53"/>
      <c r="E435" s="35"/>
      <c r="F435" s="54"/>
      <c r="G435" s="51"/>
      <c r="H435" s="6"/>
      <c r="J435" s="8"/>
      <c r="M435" s="55"/>
    </row>
    <row r="436" spans="1:13" ht="15.75" customHeight="1">
      <c r="A436" s="51"/>
      <c r="B436" s="51"/>
      <c r="C436" s="52"/>
      <c r="D436" s="53"/>
      <c r="E436" s="35"/>
      <c r="F436" s="54"/>
      <c r="G436" s="51"/>
      <c r="H436" s="6"/>
      <c r="J436" s="8"/>
      <c r="M436" s="55"/>
    </row>
    <row r="437" spans="1:13" ht="15.75" customHeight="1">
      <c r="A437" s="51"/>
      <c r="B437" s="51"/>
      <c r="C437" s="52"/>
      <c r="D437" s="53"/>
      <c r="E437" s="35"/>
      <c r="F437" s="54"/>
      <c r="G437" s="51"/>
      <c r="H437" s="6"/>
      <c r="J437" s="8"/>
      <c r="M437" s="55"/>
    </row>
    <row r="438" spans="1:13" ht="15.75" customHeight="1">
      <c r="A438" s="51"/>
      <c r="B438" s="51"/>
      <c r="C438" s="52"/>
      <c r="D438" s="53"/>
      <c r="E438" s="35"/>
      <c r="F438" s="54"/>
      <c r="G438" s="51"/>
      <c r="H438" s="6"/>
      <c r="J438" s="8"/>
      <c r="M438" s="55"/>
    </row>
    <row r="439" spans="1:13" ht="15.75" customHeight="1">
      <c r="A439" s="51"/>
      <c r="B439" s="51"/>
      <c r="C439" s="52"/>
      <c r="D439" s="53"/>
      <c r="E439" s="35"/>
      <c r="F439" s="54"/>
      <c r="G439" s="51"/>
      <c r="H439" s="6"/>
      <c r="J439" s="8"/>
      <c r="M439" s="55"/>
    </row>
    <row r="440" spans="1:13" ht="15.75" customHeight="1">
      <c r="A440" s="51"/>
      <c r="B440" s="51"/>
      <c r="C440" s="52"/>
      <c r="D440" s="53"/>
      <c r="E440" s="35"/>
      <c r="F440" s="54"/>
      <c r="G440" s="51"/>
      <c r="H440" s="6"/>
      <c r="J440" s="8"/>
      <c r="M440" s="55"/>
    </row>
    <row r="441" spans="1:13" ht="15.75" customHeight="1">
      <c r="A441" s="51"/>
      <c r="B441" s="51"/>
      <c r="C441" s="52"/>
      <c r="D441" s="53"/>
      <c r="E441" s="35"/>
      <c r="F441" s="54"/>
      <c r="G441" s="51"/>
      <c r="H441" s="6"/>
      <c r="J441" s="8"/>
      <c r="M441" s="55"/>
    </row>
    <row r="442" spans="1:13" ht="15.75" customHeight="1">
      <c r="A442" s="51"/>
      <c r="B442" s="51"/>
      <c r="C442" s="52"/>
      <c r="D442" s="53"/>
      <c r="E442" s="35"/>
      <c r="F442" s="54"/>
      <c r="G442" s="51"/>
      <c r="H442" s="6"/>
      <c r="J442" s="8"/>
      <c r="M442" s="55"/>
    </row>
    <row r="443" spans="1:13" ht="15.75" customHeight="1">
      <c r="A443" s="51"/>
      <c r="B443" s="51"/>
      <c r="C443" s="52"/>
      <c r="D443" s="53"/>
      <c r="E443" s="35"/>
      <c r="F443" s="54"/>
      <c r="G443" s="51"/>
      <c r="H443" s="6"/>
      <c r="J443" s="8"/>
      <c r="M443" s="55"/>
    </row>
    <row r="444" spans="1:13" ht="15.75" customHeight="1">
      <c r="A444" s="51"/>
      <c r="B444" s="51"/>
      <c r="C444" s="52"/>
      <c r="D444" s="53"/>
      <c r="E444" s="35"/>
      <c r="F444" s="54"/>
      <c r="G444" s="51"/>
      <c r="H444" s="6"/>
      <c r="J444" s="8"/>
      <c r="M444" s="55"/>
    </row>
    <row r="445" spans="1:13" ht="15.75" customHeight="1">
      <c r="A445" s="51"/>
      <c r="B445" s="51"/>
      <c r="C445" s="52"/>
      <c r="D445" s="53"/>
      <c r="E445" s="35"/>
      <c r="F445" s="54"/>
      <c r="G445" s="51"/>
      <c r="H445" s="6"/>
      <c r="J445" s="8"/>
      <c r="M445" s="55"/>
    </row>
    <row r="446" spans="1:13" ht="15.75" customHeight="1">
      <c r="A446" s="51"/>
      <c r="B446" s="51"/>
      <c r="C446" s="52"/>
      <c r="D446" s="53"/>
      <c r="E446" s="35"/>
      <c r="F446" s="54"/>
      <c r="G446" s="51"/>
      <c r="H446" s="6"/>
      <c r="J446" s="8"/>
      <c r="M446" s="55"/>
    </row>
    <row r="447" spans="1:13" ht="15.75" customHeight="1">
      <c r="A447" s="51"/>
      <c r="B447" s="51"/>
      <c r="C447" s="52"/>
      <c r="D447" s="53"/>
      <c r="E447" s="35"/>
      <c r="F447" s="54"/>
      <c r="G447" s="51"/>
      <c r="H447" s="6"/>
      <c r="J447" s="8"/>
      <c r="M447" s="55"/>
    </row>
    <row r="448" spans="1:13" ht="15.75" customHeight="1">
      <c r="A448" s="51"/>
      <c r="B448" s="51"/>
      <c r="C448" s="52"/>
      <c r="D448" s="53"/>
      <c r="E448" s="35"/>
      <c r="F448" s="54"/>
      <c r="G448" s="51"/>
      <c r="H448" s="6"/>
      <c r="J448" s="8"/>
      <c r="M448" s="55"/>
    </row>
    <row r="449" spans="1:13" ht="15.75" customHeight="1">
      <c r="A449" s="51"/>
      <c r="B449" s="51"/>
      <c r="C449" s="52"/>
      <c r="D449" s="53"/>
      <c r="E449" s="35"/>
      <c r="F449" s="54"/>
      <c r="G449" s="51"/>
      <c r="H449" s="6"/>
      <c r="J449" s="8"/>
      <c r="M449" s="55"/>
    </row>
    <row r="450" spans="1:13" ht="15.75" customHeight="1">
      <c r="A450" s="51"/>
      <c r="B450" s="51"/>
      <c r="C450" s="52"/>
      <c r="D450" s="53"/>
      <c r="E450" s="35"/>
      <c r="F450" s="54"/>
      <c r="G450" s="51"/>
      <c r="H450" s="6"/>
      <c r="J450" s="8"/>
      <c r="M450" s="55"/>
    </row>
    <row r="451" spans="1:13" ht="15.75" customHeight="1">
      <c r="A451" s="51"/>
      <c r="B451" s="51"/>
      <c r="C451" s="52"/>
      <c r="D451" s="53"/>
      <c r="E451" s="35"/>
      <c r="F451" s="54"/>
      <c r="G451" s="51"/>
      <c r="H451" s="6"/>
      <c r="J451" s="8"/>
      <c r="M451" s="55"/>
    </row>
    <row r="452" spans="1:13" ht="15.75" customHeight="1">
      <c r="A452" s="51"/>
      <c r="B452" s="51"/>
      <c r="C452" s="52"/>
      <c r="D452" s="53"/>
      <c r="E452" s="35"/>
      <c r="F452" s="54"/>
      <c r="G452" s="51"/>
      <c r="H452" s="6"/>
      <c r="J452" s="8"/>
      <c r="M452" s="55"/>
    </row>
    <row r="453" spans="1:13" ht="15.75" customHeight="1">
      <c r="A453" s="51"/>
      <c r="B453" s="51"/>
      <c r="C453" s="52"/>
      <c r="D453" s="53"/>
      <c r="E453" s="35"/>
      <c r="F453" s="54"/>
      <c r="G453" s="51"/>
      <c r="H453" s="6"/>
      <c r="J453" s="8"/>
      <c r="M453" s="55"/>
    </row>
    <row r="454" spans="1:13" ht="15.75" customHeight="1">
      <c r="A454" s="51"/>
      <c r="B454" s="51"/>
      <c r="C454" s="52"/>
      <c r="D454" s="53"/>
      <c r="E454" s="35"/>
      <c r="F454" s="54"/>
      <c r="G454" s="51"/>
      <c r="H454" s="6"/>
      <c r="J454" s="8"/>
      <c r="M454" s="55"/>
    </row>
    <row r="455" spans="1:13" ht="15.75" customHeight="1">
      <c r="A455" s="51"/>
      <c r="B455" s="51"/>
      <c r="C455" s="52"/>
      <c r="D455" s="53"/>
      <c r="E455" s="35"/>
      <c r="F455" s="54"/>
      <c r="G455" s="51"/>
      <c r="H455" s="6"/>
      <c r="J455" s="8"/>
      <c r="M455" s="55"/>
    </row>
    <row r="456" spans="1:13" ht="15.75" customHeight="1">
      <c r="A456" s="51"/>
      <c r="B456" s="51"/>
      <c r="C456" s="52"/>
      <c r="D456" s="53"/>
      <c r="E456" s="35"/>
      <c r="F456" s="54"/>
      <c r="G456" s="51"/>
      <c r="H456" s="6"/>
      <c r="J456" s="8"/>
      <c r="M456" s="55"/>
    </row>
    <row r="457" spans="1:13" ht="15.75" customHeight="1">
      <c r="A457" s="51"/>
      <c r="B457" s="51"/>
      <c r="C457" s="52"/>
      <c r="D457" s="53"/>
      <c r="E457" s="35"/>
      <c r="F457" s="54"/>
      <c r="G457" s="51"/>
      <c r="H457" s="6"/>
      <c r="J457" s="8"/>
      <c r="M457" s="55"/>
    </row>
    <row r="458" spans="1:13" ht="15.75" customHeight="1">
      <c r="A458" s="51"/>
      <c r="B458" s="51"/>
      <c r="C458" s="52"/>
      <c r="D458" s="53"/>
      <c r="E458" s="35"/>
      <c r="F458" s="54"/>
      <c r="G458" s="51"/>
      <c r="H458" s="6"/>
      <c r="J458" s="8"/>
      <c r="M458" s="55"/>
    </row>
    <row r="459" spans="1:13" ht="15.75" customHeight="1">
      <c r="A459" s="51"/>
      <c r="B459" s="51"/>
      <c r="C459" s="52"/>
      <c r="D459" s="53"/>
      <c r="E459" s="35"/>
      <c r="F459" s="54"/>
      <c r="G459" s="51"/>
      <c r="H459" s="6"/>
      <c r="J459" s="8"/>
      <c r="M459" s="55"/>
    </row>
    <row r="460" spans="1:13" ht="15.75" customHeight="1">
      <c r="A460" s="51"/>
      <c r="B460" s="51"/>
      <c r="C460" s="52"/>
      <c r="D460" s="53"/>
      <c r="E460" s="35"/>
      <c r="F460" s="54"/>
      <c r="G460" s="51"/>
      <c r="H460" s="6"/>
      <c r="J460" s="8"/>
      <c r="M460" s="55"/>
    </row>
    <row r="461" spans="1:13" ht="15.75" customHeight="1">
      <c r="A461" s="51"/>
      <c r="B461" s="51"/>
      <c r="C461" s="52"/>
      <c r="D461" s="53"/>
      <c r="E461" s="35"/>
      <c r="F461" s="54"/>
      <c r="G461" s="51"/>
      <c r="H461" s="6"/>
      <c r="J461" s="8"/>
      <c r="M461" s="55"/>
    </row>
    <row r="462" spans="1:13" ht="15.75" customHeight="1">
      <c r="A462" s="51"/>
      <c r="B462" s="51"/>
      <c r="C462" s="52"/>
      <c r="D462" s="53"/>
      <c r="E462" s="35"/>
      <c r="F462" s="54"/>
      <c r="G462" s="51"/>
      <c r="H462" s="6"/>
      <c r="J462" s="8"/>
      <c r="M462" s="55"/>
    </row>
    <row r="463" spans="1:13" ht="15.75" customHeight="1">
      <c r="A463" s="51"/>
      <c r="B463" s="51"/>
      <c r="C463" s="52"/>
      <c r="D463" s="53"/>
      <c r="E463" s="35"/>
      <c r="F463" s="54"/>
      <c r="G463" s="51"/>
      <c r="H463" s="6"/>
      <c r="J463" s="8"/>
      <c r="M463" s="55"/>
    </row>
    <row r="464" spans="1:13" ht="15.75" customHeight="1">
      <c r="A464" s="51"/>
      <c r="B464" s="51"/>
      <c r="C464" s="52"/>
      <c r="D464" s="53"/>
      <c r="E464" s="35"/>
      <c r="F464" s="54"/>
      <c r="G464" s="51"/>
      <c r="H464" s="6"/>
      <c r="J464" s="8"/>
      <c r="M464" s="55"/>
    </row>
    <row r="465" spans="1:13" ht="15.75" customHeight="1">
      <c r="A465" s="51"/>
      <c r="B465" s="51"/>
      <c r="C465" s="52"/>
      <c r="D465" s="53"/>
      <c r="E465" s="35"/>
      <c r="F465" s="54"/>
      <c r="G465" s="51"/>
      <c r="H465" s="6"/>
      <c r="J465" s="8"/>
      <c r="M465" s="55"/>
    </row>
    <row r="466" spans="1:13" ht="15.75" customHeight="1">
      <c r="A466" s="51"/>
      <c r="B466" s="51"/>
      <c r="C466" s="52"/>
      <c r="D466" s="53"/>
      <c r="E466" s="35"/>
      <c r="F466" s="54"/>
      <c r="G466" s="51"/>
      <c r="H466" s="6"/>
      <c r="J466" s="8"/>
      <c r="M466" s="55"/>
    </row>
    <row r="467" spans="1:13" ht="15.75" customHeight="1">
      <c r="A467" s="51"/>
      <c r="B467" s="51"/>
      <c r="C467" s="52"/>
      <c r="D467" s="53"/>
      <c r="E467" s="35"/>
      <c r="F467" s="54"/>
      <c r="G467" s="51"/>
      <c r="H467" s="6"/>
      <c r="J467" s="8"/>
      <c r="M467" s="55"/>
    </row>
    <row r="468" spans="1:13" ht="15.75" customHeight="1">
      <c r="A468" s="51"/>
      <c r="B468" s="51"/>
      <c r="C468" s="52"/>
      <c r="D468" s="53"/>
      <c r="E468" s="35"/>
      <c r="F468" s="54"/>
      <c r="G468" s="51"/>
      <c r="H468" s="6"/>
      <c r="J468" s="8"/>
      <c r="M468" s="55"/>
    </row>
    <row r="469" spans="1:13" ht="15.75" customHeight="1">
      <c r="A469" s="51"/>
      <c r="B469" s="51"/>
      <c r="C469" s="52"/>
      <c r="D469" s="53"/>
      <c r="E469" s="35"/>
      <c r="F469" s="54"/>
      <c r="G469" s="51"/>
      <c r="H469" s="6"/>
      <c r="J469" s="8"/>
      <c r="M469" s="55"/>
    </row>
    <row r="470" spans="1:13" ht="15.75" customHeight="1">
      <c r="A470" s="51"/>
      <c r="B470" s="51"/>
      <c r="C470" s="52"/>
      <c r="D470" s="53"/>
      <c r="E470" s="35"/>
      <c r="F470" s="54"/>
      <c r="G470" s="51"/>
      <c r="H470" s="6"/>
      <c r="J470" s="8"/>
      <c r="M470" s="55"/>
    </row>
    <row r="471" spans="1:13" ht="15.75" customHeight="1">
      <c r="A471" s="51"/>
      <c r="B471" s="51"/>
      <c r="C471" s="52"/>
      <c r="D471" s="53"/>
      <c r="E471" s="35"/>
      <c r="F471" s="54"/>
      <c r="G471" s="51"/>
      <c r="H471" s="6"/>
      <c r="J471" s="8"/>
      <c r="M471" s="55"/>
    </row>
    <row r="472" spans="1:13" ht="15.75" customHeight="1">
      <c r="A472" s="51"/>
      <c r="B472" s="51"/>
      <c r="C472" s="52"/>
      <c r="D472" s="53"/>
      <c r="E472" s="35"/>
      <c r="F472" s="54"/>
      <c r="G472" s="51"/>
      <c r="H472" s="6"/>
      <c r="J472" s="8"/>
      <c r="M472" s="55"/>
    </row>
    <row r="473" spans="1:13" ht="15.75" customHeight="1">
      <c r="A473" s="51"/>
      <c r="B473" s="51"/>
      <c r="C473" s="52"/>
      <c r="D473" s="53"/>
      <c r="E473" s="35"/>
      <c r="F473" s="54"/>
      <c r="G473" s="51"/>
      <c r="H473" s="6"/>
      <c r="J473" s="8"/>
      <c r="M473" s="55"/>
    </row>
    <row r="474" spans="1:13" ht="15.75" customHeight="1">
      <c r="A474" s="51"/>
      <c r="B474" s="51"/>
      <c r="C474" s="52"/>
      <c r="D474" s="53"/>
      <c r="E474" s="35"/>
      <c r="F474" s="54"/>
      <c r="G474" s="51"/>
      <c r="H474" s="6"/>
      <c r="J474" s="8"/>
      <c r="M474" s="55"/>
    </row>
    <row r="475" spans="1:13" ht="15.75" customHeight="1">
      <c r="A475" s="51"/>
      <c r="B475" s="51"/>
      <c r="C475" s="52"/>
      <c r="D475" s="53"/>
      <c r="E475" s="35"/>
      <c r="F475" s="54"/>
      <c r="G475" s="51"/>
      <c r="H475" s="6"/>
      <c r="J475" s="8"/>
      <c r="M475" s="55"/>
    </row>
    <row r="476" spans="1:13" ht="15.75" customHeight="1">
      <c r="A476" s="51"/>
      <c r="B476" s="51"/>
      <c r="C476" s="52"/>
      <c r="D476" s="53"/>
      <c r="E476" s="35"/>
      <c r="F476" s="54"/>
      <c r="G476" s="51"/>
      <c r="H476" s="6"/>
      <c r="J476" s="8"/>
      <c r="M476" s="55"/>
    </row>
    <row r="477" spans="1:13" ht="15.75" customHeight="1">
      <c r="A477" s="51"/>
      <c r="B477" s="51"/>
      <c r="C477" s="52"/>
      <c r="D477" s="53"/>
      <c r="E477" s="35"/>
      <c r="F477" s="54"/>
      <c r="G477" s="51"/>
      <c r="H477" s="6"/>
      <c r="J477" s="8"/>
      <c r="M477" s="55"/>
    </row>
    <row r="478" spans="1:13" ht="15.75" customHeight="1">
      <c r="A478" s="51"/>
      <c r="B478" s="51"/>
      <c r="C478" s="52"/>
      <c r="D478" s="53"/>
      <c r="E478" s="35"/>
      <c r="F478" s="54"/>
      <c r="G478" s="51"/>
      <c r="H478" s="6"/>
      <c r="J478" s="8"/>
      <c r="M478" s="55"/>
    </row>
    <row r="479" spans="1:13" ht="15.75" customHeight="1">
      <c r="A479" s="51"/>
      <c r="B479" s="51"/>
      <c r="C479" s="52"/>
      <c r="D479" s="53"/>
      <c r="E479" s="35"/>
      <c r="F479" s="54"/>
      <c r="G479" s="51"/>
      <c r="H479" s="6"/>
      <c r="J479" s="8"/>
      <c r="M479" s="55"/>
    </row>
    <row r="480" spans="1:13" ht="15.75" customHeight="1">
      <c r="A480" s="51"/>
      <c r="B480" s="51"/>
      <c r="C480" s="52"/>
      <c r="D480" s="53"/>
      <c r="E480" s="35"/>
      <c r="F480" s="54"/>
      <c r="G480" s="51"/>
      <c r="H480" s="6"/>
      <c r="J480" s="8"/>
      <c r="M480" s="55"/>
    </row>
    <row r="481" spans="1:13" ht="15.75" customHeight="1">
      <c r="A481" s="51"/>
      <c r="B481" s="51"/>
      <c r="C481" s="52"/>
      <c r="D481" s="53"/>
      <c r="E481" s="35"/>
      <c r="F481" s="54"/>
      <c r="G481" s="51"/>
      <c r="H481" s="6"/>
      <c r="J481" s="8"/>
      <c r="M481" s="55"/>
    </row>
    <row r="482" spans="1:13" ht="15.75" customHeight="1">
      <c r="A482" s="51"/>
      <c r="B482" s="51"/>
      <c r="C482" s="52"/>
      <c r="D482" s="53"/>
      <c r="E482" s="35"/>
      <c r="F482" s="54"/>
      <c r="G482" s="51"/>
      <c r="H482" s="6"/>
      <c r="J482" s="8"/>
      <c r="M482" s="55"/>
    </row>
    <row r="483" spans="1:13" ht="15.75" customHeight="1">
      <c r="A483" s="51"/>
      <c r="B483" s="51"/>
      <c r="C483" s="52"/>
      <c r="D483" s="53"/>
      <c r="E483" s="35"/>
      <c r="F483" s="54"/>
      <c r="G483" s="51"/>
      <c r="H483" s="6"/>
      <c r="J483" s="8"/>
      <c r="M483" s="55"/>
    </row>
    <row r="484" spans="1:13" ht="15.75" customHeight="1">
      <c r="A484" s="51"/>
      <c r="B484" s="51"/>
      <c r="C484" s="52"/>
      <c r="D484" s="53"/>
      <c r="E484" s="35"/>
      <c r="F484" s="54"/>
      <c r="G484" s="51"/>
      <c r="H484" s="6"/>
      <c r="J484" s="8"/>
      <c r="M484" s="55"/>
    </row>
    <row r="485" spans="1:13" ht="15.75" customHeight="1">
      <c r="A485" s="51"/>
      <c r="B485" s="51"/>
      <c r="C485" s="52"/>
      <c r="D485" s="53"/>
      <c r="E485" s="35"/>
      <c r="F485" s="54"/>
      <c r="G485" s="51"/>
      <c r="H485" s="6"/>
      <c r="J485" s="8"/>
      <c r="M485" s="55"/>
    </row>
    <row r="486" spans="1:13" ht="15.75" customHeight="1">
      <c r="A486" s="51"/>
      <c r="B486" s="51"/>
      <c r="C486" s="52"/>
      <c r="D486" s="53"/>
      <c r="E486" s="35"/>
      <c r="F486" s="54"/>
      <c r="G486" s="51"/>
      <c r="H486" s="6"/>
      <c r="J486" s="8"/>
      <c r="M486" s="55"/>
    </row>
    <row r="487" spans="1:13" ht="15.75" customHeight="1">
      <c r="A487" s="51"/>
      <c r="B487" s="51"/>
      <c r="C487" s="52"/>
      <c r="D487" s="53"/>
      <c r="E487" s="35"/>
      <c r="F487" s="54"/>
      <c r="G487" s="51"/>
      <c r="H487" s="6"/>
      <c r="J487" s="8"/>
      <c r="M487" s="55"/>
    </row>
    <row r="488" spans="1:13" ht="15.75" customHeight="1">
      <c r="A488" s="51"/>
      <c r="B488" s="51"/>
      <c r="C488" s="52"/>
      <c r="D488" s="53"/>
      <c r="E488" s="35"/>
      <c r="F488" s="54"/>
      <c r="G488" s="51"/>
      <c r="H488" s="6"/>
      <c r="J488" s="8"/>
      <c r="M488" s="55"/>
    </row>
    <row r="489" spans="1:13" ht="15.75" customHeight="1">
      <c r="A489" s="51"/>
      <c r="B489" s="51"/>
      <c r="C489" s="52"/>
      <c r="D489" s="53"/>
      <c r="E489" s="35"/>
      <c r="F489" s="54"/>
      <c r="G489" s="51"/>
      <c r="H489" s="6"/>
      <c r="J489" s="8"/>
      <c r="M489" s="55"/>
    </row>
    <row r="490" spans="1:13" ht="15.75" customHeight="1">
      <c r="A490" s="51"/>
      <c r="B490" s="51"/>
      <c r="C490" s="52"/>
      <c r="D490" s="53"/>
      <c r="E490" s="35"/>
      <c r="F490" s="54"/>
      <c r="G490" s="51"/>
      <c r="H490" s="6"/>
      <c r="J490" s="8"/>
      <c r="M490" s="55"/>
    </row>
    <row r="491" spans="1:13" ht="15.75" customHeight="1">
      <c r="A491" s="51"/>
      <c r="B491" s="51"/>
      <c r="C491" s="52"/>
      <c r="D491" s="53"/>
      <c r="E491" s="35"/>
      <c r="F491" s="54"/>
      <c r="G491" s="51"/>
      <c r="H491" s="6"/>
      <c r="J491" s="8"/>
      <c r="M491" s="55"/>
    </row>
    <row r="492" spans="1:13" ht="15.75" customHeight="1">
      <c r="A492" s="51"/>
      <c r="B492" s="51"/>
      <c r="C492" s="52"/>
      <c r="D492" s="53"/>
      <c r="E492" s="35"/>
      <c r="F492" s="54"/>
      <c r="G492" s="51"/>
      <c r="H492" s="6"/>
      <c r="J492" s="8"/>
      <c r="M492" s="55"/>
    </row>
    <row r="493" spans="1:13" ht="15.75" customHeight="1">
      <c r="A493" s="51"/>
      <c r="B493" s="51"/>
      <c r="C493" s="52"/>
      <c r="D493" s="53"/>
      <c r="E493" s="35"/>
      <c r="F493" s="54"/>
      <c r="G493" s="51"/>
      <c r="H493" s="6"/>
      <c r="J493" s="8"/>
      <c r="M493" s="55"/>
    </row>
    <row r="494" spans="1:13" ht="15.75" customHeight="1">
      <c r="A494" s="51"/>
      <c r="B494" s="51"/>
      <c r="C494" s="52"/>
      <c r="D494" s="53"/>
      <c r="E494" s="35"/>
      <c r="F494" s="54"/>
      <c r="G494" s="51"/>
      <c r="H494" s="6"/>
      <c r="J494" s="8"/>
      <c r="M494" s="55"/>
    </row>
    <row r="495" spans="1:13" ht="15.75" customHeight="1">
      <c r="A495" s="51"/>
      <c r="B495" s="51"/>
      <c r="C495" s="52"/>
      <c r="D495" s="53"/>
      <c r="E495" s="35"/>
      <c r="F495" s="54"/>
      <c r="G495" s="51"/>
      <c r="H495" s="6"/>
      <c r="J495" s="8"/>
      <c r="M495" s="55"/>
    </row>
    <row r="496" spans="1:13" ht="15.75" customHeight="1">
      <c r="A496" s="51"/>
      <c r="B496" s="51"/>
      <c r="C496" s="52"/>
      <c r="D496" s="53"/>
      <c r="E496" s="35"/>
      <c r="F496" s="54"/>
      <c r="G496" s="51"/>
      <c r="H496" s="6"/>
      <c r="J496" s="8"/>
      <c r="M496" s="55"/>
    </row>
    <row r="497" spans="1:13" ht="15.75" customHeight="1">
      <c r="A497" s="51"/>
      <c r="B497" s="51"/>
      <c r="C497" s="52"/>
      <c r="D497" s="53"/>
      <c r="E497" s="35"/>
      <c r="F497" s="54"/>
      <c r="G497" s="51"/>
      <c r="H497" s="6"/>
      <c r="J497" s="8"/>
      <c r="M497" s="55"/>
    </row>
    <row r="498" spans="1:13" ht="15.75" customHeight="1">
      <c r="A498" s="51"/>
      <c r="B498" s="51"/>
      <c r="C498" s="52"/>
      <c r="D498" s="53"/>
      <c r="E498" s="35"/>
      <c r="F498" s="54"/>
      <c r="G498" s="51"/>
      <c r="H498" s="6"/>
      <c r="J498" s="8"/>
      <c r="M498" s="55"/>
    </row>
    <row r="499" spans="1:13" ht="15.75" customHeight="1">
      <c r="A499" s="51"/>
      <c r="B499" s="51"/>
      <c r="C499" s="52"/>
      <c r="D499" s="53"/>
      <c r="E499" s="35"/>
      <c r="F499" s="54"/>
      <c r="G499" s="51"/>
      <c r="H499" s="6"/>
      <c r="J499" s="8"/>
      <c r="M499" s="55"/>
    </row>
    <row r="500" spans="1:13" ht="15.75" customHeight="1">
      <c r="A500" s="51"/>
      <c r="B500" s="51"/>
      <c r="C500" s="52"/>
      <c r="D500" s="53"/>
      <c r="E500" s="35"/>
      <c r="F500" s="54"/>
      <c r="G500" s="51"/>
      <c r="H500" s="6"/>
      <c r="J500" s="8"/>
      <c r="M500" s="55"/>
    </row>
    <row r="501" spans="1:13" ht="15.75" customHeight="1">
      <c r="A501" s="51"/>
      <c r="B501" s="51"/>
      <c r="C501" s="52"/>
      <c r="D501" s="53"/>
      <c r="E501" s="35"/>
      <c r="F501" s="54"/>
      <c r="G501" s="51"/>
      <c r="H501" s="6"/>
      <c r="J501" s="8"/>
      <c r="M501" s="55"/>
    </row>
    <row r="502" spans="1:13" ht="15.75" customHeight="1">
      <c r="A502" s="51"/>
      <c r="B502" s="51"/>
      <c r="C502" s="52"/>
      <c r="D502" s="53"/>
      <c r="E502" s="35"/>
      <c r="F502" s="54"/>
      <c r="G502" s="51"/>
      <c r="H502" s="6"/>
      <c r="J502" s="8"/>
      <c r="M502" s="55"/>
    </row>
    <row r="503" spans="1:13" ht="15.75" customHeight="1">
      <c r="A503" s="51"/>
      <c r="B503" s="51"/>
      <c r="C503" s="52"/>
      <c r="D503" s="53"/>
      <c r="E503" s="35"/>
      <c r="F503" s="54"/>
      <c r="G503" s="51"/>
      <c r="H503" s="6"/>
      <c r="J503" s="8"/>
      <c r="M503" s="55"/>
    </row>
    <row r="504" spans="1:13" ht="15.75" customHeight="1">
      <c r="A504" s="51"/>
      <c r="B504" s="51"/>
      <c r="C504" s="52"/>
      <c r="D504" s="53"/>
      <c r="E504" s="35"/>
      <c r="F504" s="54"/>
      <c r="G504" s="51"/>
      <c r="H504" s="6"/>
      <c r="J504" s="8"/>
      <c r="M504" s="55"/>
    </row>
    <row r="505" spans="1:13" ht="15.75" customHeight="1">
      <c r="A505" s="51"/>
      <c r="B505" s="51"/>
      <c r="C505" s="52"/>
      <c r="D505" s="53"/>
      <c r="E505" s="35"/>
      <c r="F505" s="54"/>
      <c r="G505" s="51"/>
      <c r="H505" s="6"/>
      <c r="J505" s="8"/>
      <c r="M505" s="55"/>
    </row>
    <row r="506" spans="1:13" ht="15.75" customHeight="1">
      <c r="A506" s="51"/>
      <c r="B506" s="51"/>
      <c r="C506" s="52"/>
      <c r="D506" s="53"/>
      <c r="E506" s="35"/>
      <c r="F506" s="54"/>
      <c r="G506" s="51"/>
      <c r="H506" s="6"/>
      <c r="J506" s="8"/>
      <c r="M506" s="55"/>
    </row>
    <row r="507" spans="1:13" ht="15.75" customHeight="1">
      <c r="A507" s="51"/>
      <c r="B507" s="51"/>
      <c r="C507" s="52"/>
      <c r="D507" s="53"/>
      <c r="E507" s="35"/>
      <c r="F507" s="54"/>
      <c r="G507" s="51"/>
      <c r="H507" s="6"/>
      <c r="J507" s="8"/>
      <c r="M507" s="55"/>
    </row>
    <row r="508" spans="1:13" ht="15.75" customHeight="1">
      <c r="A508" s="51"/>
      <c r="B508" s="51"/>
      <c r="C508" s="52"/>
      <c r="D508" s="53"/>
      <c r="E508" s="35"/>
      <c r="F508" s="54"/>
      <c r="G508" s="51"/>
      <c r="H508" s="6"/>
      <c r="J508" s="8"/>
      <c r="M508" s="55"/>
    </row>
    <row r="509" spans="1:13" ht="15.75" customHeight="1">
      <c r="A509" s="51"/>
      <c r="B509" s="51"/>
      <c r="C509" s="52"/>
      <c r="D509" s="53"/>
      <c r="E509" s="35"/>
      <c r="F509" s="54"/>
      <c r="G509" s="51"/>
      <c r="H509" s="6"/>
      <c r="J509" s="8"/>
      <c r="M509" s="55"/>
    </row>
    <row r="510" spans="1:13" ht="15.75" customHeight="1">
      <c r="A510" s="51"/>
      <c r="B510" s="51"/>
      <c r="C510" s="52"/>
      <c r="D510" s="53"/>
      <c r="E510" s="35"/>
      <c r="F510" s="54"/>
      <c r="G510" s="51"/>
      <c r="H510" s="6"/>
      <c r="J510" s="8"/>
      <c r="M510" s="55"/>
    </row>
    <row r="511" spans="1:13" ht="15.75" customHeight="1">
      <c r="A511" s="51"/>
      <c r="B511" s="51"/>
      <c r="C511" s="52"/>
      <c r="D511" s="53"/>
      <c r="E511" s="35"/>
      <c r="F511" s="54"/>
      <c r="G511" s="51"/>
      <c r="H511" s="6"/>
      <c r="J511" s="8"/>
      <c r="M511" s="55"/>
    </row>
    <row r="512" spans="1:13" ht="15.75" customHeight="1">
      <c r="A512" s="51"/>
      <c r="B512" s="51"/>
      <c r="C512" s="52"/>
      <c r="D512" s="53"/>
      <c r="E512" s="35"/>
      <c r="F512" s="54"/>
      <c r="G512" s="51"/>
      <c r="H512" s="6"/>
      <c r="J512" s="8"/>
      <c r="M512" s="55"/>
    </row>
    <row r="513" spans="1:13" ht="15.75" customHeight="1">
      <c r="A513" s="51"/>
      <c r="B513" s="51"/>
      <c r="C513" s="52"/>
      <c r="D513" s="53"/>
      <c r="E513" s="35"/>
      <c r="F513" s="54"/>
      <c r="G513" s="51"/>
      <c r="H513" s="6"/>
      <c r="J513" s="8"/>
      <c r="M513" s="55"/>
    </row>
    <row r="514" spans="1:13" ht="15.75" customHeight="1">
      <c r="A514" s="51"/>
      <c r="B514" s="51"/>
      <c r="C514" s="52"/>
      <c r="D514" s="53"/>
      <c r="E514" s="35"/>
      <c r="F514" s="54"/>
      <c r="G514" s="51"/>
      <c r="H514" s="6"/>
      <c r="J514" s="8"/>
      <c r="M514" s="55"/>
    </row>
    <row r="515" spans="1:13" ht="15.75" customHeight="1">
      <c r="A515" s="51"/>
      <c r="B515" s="51"/>
      <c r="C515" s="52"/>
      <c r="D515" s="53"/>
      <c r="E515" s="35"/>
      <c r="F515" s="54"/>
      <c r="G515" s="51"/>
      <c r="H515" s="6"/>
      <c r="J515" s="8"/>
      <c r="M515" s="55"/>
    </row>
    <row r="516" spans="1:13" ht="15.75" customHeight="1">
      <c r="A516" s="51"/>
      <c r="B516" s="51"/>
      <c r="C516" s="52"/>
      <c r="D516" s="53"/>
      <c r="E516" s="35"/>
      <c r="F516" s="54"/>
      <c r="G516" s="51"/>
      <c r="H516" s="6"/>
      <c r="J516" s="8"/>
      <c r="M516" s="55"/>
    </row>
    <row r="517" spans="1:13" ht="15.75" customHeight="1">
      <c r="A517" s="51"/>
      <c r="B517" s="51"/>
      <c r="C517" s="52"/>
      <c r="D517" s="53"/>
      <c r="E517" s="35"/>
      <c r="F517" s="54"/>
      <c r="G517" s="51"/>
      <c r="H517" s="6"/>
      <c r="J517" s="8"/>
      <c r="M517" s="55"/>
    </row>
    <row r="518" spans="1:13" ht="15.75" customHeight="1">
      <c r="A518" s="51"/>
      <c r="B518" s="51"/>
      <c r="C518" s="52"/>
      <c r="D518" s="53"/>
      <c r="E518" s="35"/>
      <c r="F518" s="54"/>
      <c r="G518" s="51"/>
      <c r="H518" s="6"/>
      <c r="J518" s="8"/>
      <c r="M518" s="55"/>
    </row>
    <row r="519" spans="1:13" ht="15.75" customHeight="1">
      <c r="A519" s="51"/>
      <c r="B519" s="51"/>
      <c r="C519" s="52"/>
      <c r="D519" s="53"/>
      <c r="E519" s="35"/>
      <c r="F519" s="54"/>
      <c r="G519" s="51"/>
      <c r="H519" s="6"/>
      <c r="J519" s="8"/>
      <c r="M519" s="55"/>
    </row>
    <row r="520" spans="1:13" ht="15.75" customHeight="1">
      <c r="A520" s="51"/>
      <c r="B520" s="51"/>
      <c r="C520" s="52"/>
      <c r="D520" s="53"/>
      <c r="E520" s="35"/>
      <c r="F520" s="54"/>
      <c r="G520" s="51"/>
      <c r="H520" s="6"/>
      <c r="J520" s="8"/>
      <c r="M520" s="55"/>
    </row>
    <row r="521" spans="1:13" ht="15.75" customHeight="1">
      <c r="A521" s="51"/>
      <c r="B521" s="51"/>
      <c r="C521" s="52"/>
      <c r="D521" s="53"/>
      <c r="E521" s="35"/>
      <c r="F521" s="54"/>
      <c r="G521" s="51"/>
      <c r="H521" s="6"/>
      <c r="J521" s="8"/>
      <c r="M521" s="55"/>
    </row>
    <row r="522" spans="1:13" ht="15.75" customHeight="1">
      <c r="A522" s="51"/>
      <c r="B522" s="51"/>
      <c r="C522" s="52"/>
      <c r="D522" s="53"/>
      <c r="E522" s="35"/>
      <c r="F522" s="54"/>
      <c r="G522" s="51"/>
      <c r="H522" s="6"/>
      <c r="J522" s="8"/>
      <c r="M522" s="55"/>
    </row>
    <row r="523" spans="1:13" ht="15.75" customHeight="1">
      <c r="A523" s="51"/>
      <c r="B523" s="51"/>
      <c r="C523" s="52"/>
      <c r="D523" s="53"/>
      <c r="E523" s="35"/>
      <c r="F523" s="54"/>
      <c r="G523" s="51"/>
      <c r="H523" s="6"/>
      <c r="J523" s="8"/>
      <c r="M523" s="55"/>
    </row>
    <row r="524" spans="1:13" ht="15.75" customHeight="1">
      <c r="A524" s="51"/>
      <c r="B524" s="51"/>
      <c r="C524" s="52"/>
      <c r="D524" s="53"/>
      <c r="E524" s="35"/>
      <c r="F524" s="54"/>
      <c r="G524" s="51"/>
      <c r="H524" s="6"/>
      <c r="J524" s="8"/>
      <c r="M524" s="55"/>
    </row>
    <row r="525" spans="1:13" ht="15.75" customHeight="1">
      <c r="A525" s="51"/>
      <c r="B525" s="51"/>
      <c r="C525" s="52"/>
      <c r="D525" s="53"/>
      <c r="E525" s="35"/>
      <c r="F525" s="54"/>
      <c r="G525" s="51"/>
      <c r="H525" s="6"/>
      <c r="J525" s="8"/>
      <c r="M525" s="55"/>
    </row>
    <row r="526" spans="1:13" ht="15.75" customHeight="1">
      <c r="A526" s="51"/>
      <c r="B526" s="51"/>
      <c r="C526" s="52"/>
      <c r="D526" s="53"/>
      <c r="E526" s="35"/>
      <c r="F526" s="54"/>
      <c r="G526" s="51"/>
      <c r="H526" s="6"/>
      <c r="J526" s="8"/>
      <c r="M526" s="55"/>
    </row>
    <row r="527" spans="1:13" ht="15.75" customHeight="1">
      <c r="A527" s="51"/>
      <c r="B527" s="51"/>
      <c r="C527" s="52"/>
      <c r="D527" s="53"/>
      <c r="E527" s="35"/>
      <c r="F527" s="54"/>
      <c r="G527" s="51"/>
      <c r="H527" s="6"/>
      <c r="J527" s="8"/>
      <c r="M527" s="55"/>
    </row>
    <row r="528" spans="1:13" ht="15.75" customHeight="1">
      <c r="A528" s="51"/>
      <c r="B528" s="51"/>
      <c r="C528" s="52"/>
      <c r="D528" s="53"/>
      <c r="E528" s="35"/>
      <c r="F528" s="54"/>
      <c r="G528" s="51"/>
      <c r="H528" s="6"/>
      <c r="J528" s="8"/>
      <c r="M528" s="55"/>
    </row>
    <row r="529" spans="1:13" ht="15.75" customHeight="1">
      <c r="A529" s="51"/>
      <c r="B529" s="51"/>
      <c r="C529" s="52"/>
      <c r="D529" s="53"/>
      <c r="E529" s="35"/>
      <c r="F529" s="54"/>
      <c r="G529" s="51"/>
      <c r="H529" s="6"/>
      <c r="J529" s="8"/>
      <c r="M529" s="55"/>
    </row>
    <row r="530" spans="1:13" ht="15.75" customHeight="1">
      <c r="A530" s="51"/>
      <c r="B530" s="51"/>
      <c r="C530" s="52"/>
      <c r="D530" s="53"/>
      <c r="E530" s="35"/>
      <c r="F530" s="54"/>
      <c r="G530" s="51"/>
      <c r="H530" s="6"/>
      <c r="J530" s="8"/>
      <c r="M530" s="55"/>
    </row>
    <row r="531" spans="1:13" ht="15.75" customHeight="1">
      <c r="A531" s="51"/>
      <c r="B531" s="51"/>
      <c r="C531" s="52"/>
      <c r="D531" s="53"/>
      <c r="E531" s="35"/>
      <c r="F531" s="54"/>
      <c r="G531" s="51"/>
      <c r="H531" s="6"/>
      <c r="J531" s="8"/>
      <c r="M531" s="55"/>
    </row>
    <row r="532" spans="1:13" ht="15.75" customHeight="1">
      <c r="A532" s="51"/>
      <c r="B532" s="51"/>
      <c r="C532" s="52"/>
      <c r="D532" s="53"/>
      <c r="E532" s="35"/>
      <c r="F532" s="54"/>
      <c r="G532" s="51"/>
      <c r="H532" s="6"/>
      <c r="J532" s="8"/>
      <c r="M532" s="55"/>
    </row>
    <row r="533" spans="1:13" ht="15.75" customHeight="1">
      <c r="A533" s="51"/>
      <c r="B533" s="51"/>
      <c r="C533" s="52"/>
      <c r="D533" s="53"/>
      <c r="E533" s="35"/>
      <c r="F533" s="54"/>
      <c r="G533" s="51"/>
      <c r="H533" s="6"/>
      <c r="J533" s="8"/>
      <c r="M533" s="55"/>
    </row>
    <row r="534" spans="1:13" ht="15.75" customHeight="1">
      <c r="A534" s="51"/>
      <c r="B534" s="51"/>
      <c r="C534" s="52"/>
      <c r="D534" s="53"/>
      <c r="E534" s="35"/>
      <c r="F534" s="54"/>
      <c r="G534" s="51"/>
      <c r="H534" s="6"/>
      <c r="J534" s="8"/>
      <c r="M534" s="55"/>
    </row>
    <row r="535" spans="1:13" ht="15.75" customHeight="1">
      <c r="A535" s="51"/>
      <c r="B535" s="51"/>
      <c r="C535" s="52"/>
      <c r="D535" s="53"/>
      <c r="E535" s="35"/>
      <c r="F535" s="54"/>
      <c r="G535" s="51"/>
      <c r="H535" s="6"/>
      <c r="J535" s="8"/>
      <c r="M535" s="55"/>
    </row>
    <row r="536" spans="1:13" ht="15.75" customHeight="1">
      <c r="A536" s="51"/>
      <c r="B536" s="51"/>
      <c r="C536" s="52"/>
      <c r="D536" s="53"/>
      <c r="E536" s="35"/>
      <c r="F536" s="54"/>
      <c r="G536" s="51"/>
      <c r="H536" s="6"/>
      <c r="J536" s="8"/>
      <c r="M536" s="55"/>
    </row>
    <row r="537" spans="1:13" ht="15.75" customHeight="1">
      <c r="A537" s="51"/>
      <c r="B537" s="51"/>
      <c r="C537" s="52"/>
      <c r="D537" s="53"/>
      <c r="E537" s="35"/>
      <c r="F537" s="54"/>
      <c r="G537" s="51"/>
      <c r="H537" s="6"/>
      <c r="J537" s="8"/>
      <c r="M537" s="55"/>
    </row>
    <row r="538" spans="1:13" ht="15.75" customHeight="1">
      <c r="A538" s="51"/>
      <c r="B538" s="51"/>
      <c r="C538" s="52"/>
      <c r="D538" s="53"/>
      <c r="E538" s="35"/>
      <c r="F538" s="54"/>
      <c r="G538" s="51"/>
      <c r="H538" s="6"/>
      <c r="J538" s="8"/>
      <c r="M538" s="55"/>
    </row>
    <row r="539" spans="1:13" ht="15.75" customHeight="1">
      <c r="A539" s="51"/>
      <c r="B539" s="51"/>
      <c r="C539" s="52"/>
      <c r="D539" s="53"/>
      <c r="E539" s="35"/>
      <c r="F539" s="54"/>
      <c r="G539" s="51"/>
      <c r="H539" s="6"/>
      <c r="J539" s="8"/>
      <c r="M539" s="55"/>
    </row>
    <row r="540" spans="1:13" ht="15.75" customHeight="1">
      <c r="A540" s="51"/>
      <c r="B540" s="51"/>
      <c r="C540" s="52"/>
      <c r="D540" s="53"/>
      <c r="E540" s="35"/>
      <c r="F540" s="54"/>
      <c r="G540" s="51"/>
      <c r="H540" s="6"/>
      <c r="J540" s="8"/>
      <c r="M540" s="55"/>
    </row>
    <row r="541" spans="1:13" ht="15.75" customHeight="1">
      <c r="A541" s="51"/>
      <c r="B541" s="51"/>
      <c r="C541" s="52"/>
      <c r="D541" s="53"/>
      <c r="E541" s="35"/>
      <c r="F541" s="54"/>
      <c r="G541" s="51"/>
      <c r="H541" s="6"/>
      <c r="J541" s="8"/>
      <c r="M541" s="55"/>
    </row>
    <row r="542" spans="1:13" ht="15.75" customHeight="1">
      <c r="A542" s="51"/>
      <c r="B542" s="51"/>
      <c r="C542" s="52"/>
      <c r="D542" s="53"/>
      <c r="E542" s="35"/>
      <c r="F542" s="54"/>
      <c r="G542" s="51"/>
      <c r="H542" s="6"/>
      <c r="J542" s="8"/>
      <c r="M542" s="55"/>
    </row>
    <row r="543" spans="1:13" ht="15.75" customHeight="1">
      <c r="A543" s="51"/>
      <c r="B543" s="51"/>
      <c r="C543" s="52"/>
      <c r="D543" s="53"/>
      <c r="E543" s="35"/>
      <c r="F543" s="54"/>
      <c r="G543" s="51"/>
      <c r="H543" s="6"/>
      <c r="J543" s="8"/>
      <c r="M543" s="55"/>
    </row>
    <row r="544" spans="1:13" ht="15.75" customHeight="1">
      <c r="A544" s="51"/>
      <c r="B544" s="51"/>
      <c r="C544" s="52"/>
      <c r="D544" s="53"/>
      <c r="E544" s="35"/>
      <c r="F544" s="54"/>
      <c r="G544" s="51"/>
      <c r="H544" s="6"/>
      <c r="J544" s="8"/>
      <c r="M544" s="55"/>
    </row>
    <row r="545" spans="1:13" ht="15.75" customHeight="1">
      <c r="A545" s="51"/>
      <c r="B545" s="51"/>
      <c r="C545" s="52"/>
      <c r="D545" s="53"/>
      <c r="E545" s="35"/>
      <c r="F545" s="54"/>
      <c r="G545" s="51"/>
      <c r="H545" s="6"/>
      <c r="J545" s="8"/>
      <c r="M545" s="55"/>
    </row>
    <row r="546" spans="1:13" ht="15.75" customHeight="1">
      <c r="A546" s="51"/>
      <c r="B546" s="51"/>
      <c r="C546" s="52"/>
      <c r="D546" s="53"/>
      <c r="E546" s="35"/>
      <c r="F546" s="54"/>
      <c r="G546" s="51"/>
      <c r="H546" s="6"/>
      <c r="J546" s="8"/>
      <c r="M546" s="55"/>
    </row>
    <row r="547" spans="1:13" ht="15.75" customHeight="1">
      <c r="A547" s="51"/>
      <c r="B547" s="51"/>
      <c r="C547" s="52"/>
      <c r="D547" s="53"/>
      <c r="E547" s="35"/>
      <c r="F547" s="54"/>
      <c r="G547" s="51"/>
      <c r="H547" s="6"/>
      <c r="J547" s="8"/>
      <c r="M547" s="55"/>
    </row>
    <row r="548" spans="1:13" ht="15.75" customHeight="1">
      <c r="A548" s="51"/>
      <c r="B548" s="51"/>
      <c r="C548" s="52"/>
      <c r="D548" s="53"/>
      <c r="E548" s="35"/>
      <c r="F548" s="54"/>
      <c r="G548" s="51"/>
      <c r="H548" s="6"/>
      <c r="J548" s="8"/>
      <c r="M548" s="55"/>
    </row>
    <row r="549" spans="1:13" ht="15.75" customHeight="1">
      <c r="A549" s="51"/>
      <c r="B549" s="51"/>
      <c r="C549" s="52"/>
      <c r="D549" s="53"/>
      <c r="E549" s="35"/>
      <c r="F549" s="54"/>
      <c r="G549" s="51"/>
      <c r="H549" s="6"/>
      <c r="J549" s="8"/>
      <c r="M549" s="55"/>
    </row>
    <row r="550" spans="1:13" ht="15.75" customHeight="1">
      <c r="A550" s="51"/>
      <c r="B550" s="51"/>
      <c r="C550" s="52"/>
      <c r="D550" s="53"/>
      <c r="E550" s="35"/>
      <c r="F550" s="54"/>
      <c r="G550" s="51"/>
      <c r="H550" s="6"/>
      <c r="J550" s="8"/>
      <c r="M550" s="55"/>
    </row>
    <row r="551" spans="1:13" ht="15.75" customHeight="1">
      <c r="A551" s="51"/>
      <c r="B551" s="51"/>
      <c r="C551" s="52"/>
      <c r="D551" s="53"/>
      <c r="E551" s="35"/>
      <c r="F551" s="54"/>
      <c r="G551" s="51"/>
      <c r="H551" s="6"/>
      <c r="J551" s="8"/>
      <c r="M551" s="55"/>
    </row>
    <row r="552" spans="1:13" ht="15.75" customHeight="1">
      <c r="A552" s="51"/>
      <c r="B552" s="51"/>
      <c r="C552" s="52"/>
      <c r="D552" s="53"/>
      <c r="E552" s="35"/>
      <c r="F552" s="54"/>
      <c r="G552" s="51"/>
      <c r="H552" s="6"/>
      <c r="J552" s="8"/>
      <c r="M552" s="55"/>
    </row>
    <row r="553" spans="1:13" ht="15.75" customHeight="1">
      <c r="A553" s="51"/>
      <c r="B553" s="51"/>
      <c r="C553" s="52"/>
      <c r="D553" s="53"/>
      <c r="E553" s="35"/>
      <c r="F553" s="54"/>
      <c r="G553" s="51"/>
      <c r="H553" s="6"/>
      <c r="J553" s="8"/>
      <c r="M553" s="55"/>
    </row>
    <row r="554" spans="1:13" ht="15.75" customHeight="1">
      <c r="A554" s="51"/>
      <c r="B554" s="51"/>
      <c r="C554" s="52"/>
      <c r="D554" s="53"/>
      <c r="E554" s="35"/>
      <c r="F554" s="54"/>
      <c r="G554" s="51"/>
      <c r="H554" s="6"/>
      <c r="J554" s="8"/>
      <c r="M554" s="55"/>
    </row>
    <row r="555" spans="1:13" ht="15.75" customHeight="1">
      <c r="A555" s="51"/>
      <c r="B555" s="51"/>
      <c r="C555" s="52"/>
      <c r="D555" s="53"/>
      <c r="E555" s="35"/>
      <c r="F555" s="54"/>
      <c r="G555" s="51"/>
      <c r="H555" s="6"/>
      <c r="J555" s="8"/>
      <c r="M555" s="55"/>
    </row>
    <row r="556" spans="1:13" ht="15.75" customHeight="1">
      <c r="A556" s="51"/>
      <c r="B556" s="51"/>
      <c r="C556" s="52"/>
      <c r="D556" s="53"/>
      <c r="E556" s="35"/>
      <c r="F556" s="54"/>
      <c r="G556" s="51"/>
      <c r="H556" s="6"/>
      <c r="J556" s="8"/>
      <c r="M556" s="55"/>
    </row>
    <row r="557" spans="1:13" ht="15.75" customHeight="1">
      <c r="A557" s="51"/>
      <c r="B557" s="51"/>
      <c r="C557" s="52"/>
      <c r="D557" s="53"/>
      <c r="E557" s="35"/>
      <c r="F557" s="54"/>
      <c r="G557" s="51"/>
      <c r="H557" s="6"/>
      <c r="J557" s="8"/>
      <c r="M557" s="55"/>
    </row>
    <row r="558" spans="1:13" ht="15.75" customHeight="1">
      <c r="A558" s="51"/>
      <c r="B558" s="51"/>
      <c r="C558" s="52"/>
      <c r="D558" s="53"/>
      <c r="E558" s="35"/>
      <c r="F558" s="54"/>
      <c r="G558" s="51"/>
      <c r="H558" s="6"/>
      <c r="J558" s="8"/>
      <c r="M558" s="55"/>
    </row>
    <row r="559" spans="1:13" ht="15.75" customHeight="1">
      <c r="A559" s="51"/>
      <c r="B559" s="51"/>
      <c r="C559" s="52"/>
      <c r="D559" s="53"/>
      <c r="E559" s="35"/>
      <c r="F559" s="54"/>
      <c r="G559" s="51"/>
      <c r="H559" s="6"/>
      <c r="J559" s="8"/>
      <c r="M559" s="55"/>
    </row>
    <row r="560" spans="1:13" ht="15.75" customHeight="1">
      <c r="A560" s="51"/>
      <c r="B560" s="51"/>
      <c r="C560" s="52"/>
      <c r="D560" s="53"/>
      <c r="E560" s="35"/>
      <c r="F560" s="54"/>
      <c r="G560" s="51"/>
      <c r="H560" s="6"/>
      <c r="J560" s="8"/>
      <c r="M560" s="55"/>
    </row>
    <row r="561" spans="1:13" ht="15.75" customHeight="1">
      <c r="A561" s="51"/>
      <c r="B561" s="51"/>
      <c r="C561" s="52"/>
      <c r="D561" s="53"/>
      <c r="E561" s="35"/>
      <c r="F561" s="54"/>
      <c r="G561" s="51"/>
      <c r="H561" s="6"/>
      <c r="J561" s="8"/>
      <c r="M561" s="55"/>
    </row>
    <row r="562" spans="1:13" ht="15.75" customHeight="1">
      <c r="A562" s="51"/>
      <c r="B562" s="51"/>
      <c r="C562" s="52"/>
      <c r="D562" s="53"/>
      <c r="E562" s="35"/>
      <c r="F562" s="54"/>
      <c r="G562" s="51"/>
      <c r="H562" s="6"/>
      <c r="J562" s="8"/>
      <c r="M562" s="55"/>
    </row>
    <row r="563" spans="1:13" ht="15.75" customHeight="1">
      <c r="A563" s="51"/>
      <c r="B563" s="51"/>
      <c r="C563" s="52"/>
      <c r="D563" s="53"/>
      <c r="E563" s="35"/>
      <c r="F563" s="54"/>
      <c r="G563" s="51"/>
      <c r="H563" s="6"/>
      <c r="J563" s="8"/>
      <c r="M563" s="55"/>
    </row>
    <row r="564" spans="1:13" ht="15.75" customHeight="1">
      <c r="A564" s="51"/>
      <c r="B564" s="51"/>
      <c r="C564" s="52"/>
      <c r="D564" s="53"/>
      <c r="E564" s="35"/>
      <c r="F564" s="54"/>
      <c r="G564" s="51"/>
      <c r="H564" s="6"/>
      <c r="J564" s="8"/>
      <c r="M564" s="55"/>
    </row>
    <row r="565" spans="1:13" ht="15.75" customHeight="1">
      <c r="A565" s="51"/>
      <c r="B565" s="51"/>
      <c r="C565" s="52"/>
      <c r="D565" s="53"/>
      <c r="E565" s="35"/>
      <c r="F565" s="54"/>
      <c r="G565" s="51"/>
      <c r="H565" s="6"/>
      <c r="J565" s="8"/>
      <c r="M565" s="55"/>
    </row>
    <row r="566" spans="1:13" ht="15.75" customHeight="1">
      <c r="A566" s="51"/>
      <c r="B566" s="51"/>
      <c r="C566" s="52"/>
      <c r="D566" s="53"/>
      <c r="E566" s="35"/>
      <c r="F566" s="54"/>
      <c r="G566" s="51"/>
      <c r="H566" s="6"/>
      <c r="J566" s="8"/>
      <c r="M566" s="55"/>
    </row>
    <row r="567" spans="1:13" ht="15.75" customHeight="1">
      <c r="A567" s="51"/>
      <c r="B567" s="51"/>
      <c r="C567" s="52"/>
      <c r="D567" s="53"/>
      <c r="E567" s="35"/>
      <c r="F567" s="54"/>
      <c r="G567" s="51"/>
      <c r="H567" s="6"/>
      <c r="J567" s="8"/>
      <c r="M567" s="55"/>
    </row>
    <row r="568" spans="1:13" ht="15.75" customHeight="1">
      <c r="A568" s="51"/>
      <c r="B568" s="51"/>
      <c r="C568" s="52"/>
      <c r="D568" s="53"/>
      <c r="E568" s="35"/>
      <c r="F568" s="54"/>
      <c r="G568" s="51"/>
      <c r="H568" s="6"/>
      <c r="J568" s="8"/>
      <c r="M568" s="55"/>
    </row>
    <row r="569" spans="1:13" ht="15.75" customHeight="1">
      <c r="A569" s="51"/>
      <c r="B569" s="51"/>
      <c r="C569" s="52"/>
      <c r="D569" s="53"/>
      <c r="E569" s="35"/>
      <c r="F569" s="54"/>
      <c r="G569" s="51"/>
      <c r="H569" s="6"/>
      <c r="J569" s="8"/>
      <c r="M569" s="55"/>
    </row>
    <row r="570" spans="1:13" ht="15.75" customHeight="1">
      <c r="A570" s="51"/>
      <c r="B570" s="51"/>
      <c r="C570" s="52"/>
      <c r="D570" s="53"/>
      <c r="E570" s="35"/>
      <c r="F570" s="54"/>
      <c r="G570" s="51"/>
      <c r="H570" s="6"/>
      <c r="J570" s="8"/>
      <c r="M570" s="55"/>
    </row>
    <row r="571" spans="1:13" ht="15.75" customHeight="1">
      <c r="A571" s="51"/>
      <c r="B571" s="51"/>
      <c r="C571" s="52"/>
      <c r="D571" s="53"/>
      <c r="E571" s="35"/>
      <c r="F571" s="54"/>
      <c r="G571" s="51"/>
      <c r="H571" s="6"/>
      <c r="J571" s="8"/>
      <c r="M571" s="55"/>
    </row>
    <row r="572" spans="1:13" ht="15.75" customHeight="1">
      <c r="A572" s="51"/>
      <c r="B572" s="51"/>
      <c r="C572" s="52"/>
      <c r="D572" s="53"/>
      <c r="E572" s="35"/>
      <c r="F572" s="54"/>
      <c r="G572" s="51"/>
      <c r="H572" s="6"/>
      <c r="J572" s="8"/>
      <c r="M572" s="55"/>
    </row>
    <row r="573" spans="1:13" ht="15.75" customHeight="1">
      <c r="A573" s="51"/>
      <c r="B573" s="51"/>
      <c r="C573" s="52"/>
      <c r="D573" s="53"/>
      <c r="E573" s="35"/>
      <c r="F573" s="54"/>
      <c r="G573" s="51"/>
      <c r="H573" s="6"/>
      <c r="J573" s="8"/>
      <c r="M573" s="55"/>
    </row>
    <row r="574" spans="1:13" ht="15.75" customHeight="1">
      <c r="A574" s="51"/>
      <c r="B574" s="51"/>
      <c r="C574" s="52"/>
      <c r="D574" s="53"/>
      <c r="E574" s="35"/>
      <c r="F574" s="54"/>
      <c r="G574" s="51"/>
      <c r="H574" s="6"/>
      <c r="J574" s="8"/>
      <c r="M574" s="55"/>
    </row>
    <row r="575" spans="1:13" ht="15.75" customHeight="1">
      <c r="A575" s="51"/>
      <c r="B575" s="51"/>
      <c r="C575" s="52"/>
      <c r="D575" s="53"/>
      <c r="E575" s="35"/>
      <c r="F575" s="54"/>
      <c r="G575" s="51"/>
      <c r="H575" s="6"/>
      <c r="J575" s="8"/>
      <c r="M575" s="55"/>
    </row>
    <row r="576" spans="1:13" ht="15.75" customHeight="1">
      <c r="A576" s="51"/>
      <c r="B576" s="51"/>
      <c r="C576" s="52"/>
      <c r="D576" s="53"/>
      <c r="E576" s="35"/>
      <c r="F576" s="54"/>
      <c r="G576" s="51"/>
      <c r="H576" s="6"/>
      <c r="J576" s="8"/>
      <c r="M576" s="55"/>
    </row>
    <row r="577" spans="1:13" ht="15.75" customHeight="1">
      <c r="A577" s="51"/>
      <c r="B577" s="51"/>
      <c r="C577" s="52"/>
      <c r="D577" s="53"/>
      <c r="E577" s="35"/>
      <c r="F577" s="54"/>
      <c r="G577" s="51"/>
      <c r="H577" s="6"/>
      <c r="J577" s="8"/>
      <c r="M577" s="55"/>
    </row>
    <row r="578" spans="1:13" ht="15.75" customHeight="1">
      <c r="A578" s="51"/>
      <c r="B578" s="51"/>
      <c r="C578" s="52"/>
      <c r="D578" s="53"/>
      <c r="E578" s="35"/>
      <c r="F578" s="54"/>
      <c r="G578" s="51"/>
      <c r="H578" s="6"/>
      <c r="J578" s="8"/>
      <c r="M578" s="55"/>
    </row>
    <row r="579" spans="1:13" ht="15.75" customHeight="1">
      <c r="A579" s="51"/>
      <c r="B579" s="51"/>
      <c r="C579" s="52"/>
      <c r="D579" s="53"/>
      <c r="E579" s="35"/>
      <c r="F579" s="54"/>
      <c r="G579" s="51"/>
      <c r="H579" s="6"/>
      <c r="J579" s="8"/>
      <c r="M579" s="55"/>
    </row>
    <row r="580" spans="1:13" ht="15.75" customHeight="1">
      <c r="A580" s="51"/>
      <c r="B580" s="51"/>
      <c r="C580" s="52"/>
      <c r="D580" s="53"/>
      <c r="E580" s="35"/>
      <c r="F580" s="54"/>
      <c r="G580" s="51"/>
      <c r="H580" s="6"/>
      <c r="J580" s="8"/>
      <c r="M580" s="55"/>
    </row>
    <row r="581" spans="1:13" ht="15.75" customHeight="1">
      <c r="A581" s="51"/>
      <c r="B581" s="51"/>
      <c r="C581" s="52"/>
      <c r="D581" s="53"/>
      <c r="E581" s="35"/>
      <c r="F581" s="54"/>
      <c r="G581" s="51"/>
      <c r="H581" s="6"/>
      <c r="J581" s="8"/>
      <c r="M581" s="55"/>
    </row>
    <row r="582" spans="1:13" ht="15.75" customHeight="1">
      <c r="A582" s="51"/>
      <c r="B582" s="51"/>
      <c r="C582" s="52"/>
      <c r="D582" s="53"/>
      <c r="E582" s="35"/>
      <c r="F582" s="54"/>
      <c r="G582" s="51"/>
      <c r="H582" s="6"/>
      <c r="J582" s="8"/>
      <c r="M582" s="55"/>
    </row>
    <row r="583" spans="1:13" ht="15.75" customHeight="1">
      <c r="A583" s="51"/>
      <c r="B583" s="51"/>
      <c r="C583" s="52"/>
      <c r="D583" s="53"/>
      <c r="E583" s="35"/>
      <c r="F583" s="54"/>
      <c r="G583" s="51"/>
      <c r="H583" s="6"/>
      <c r="J583" s="8"/>
      <c r="M583" s="55"/>
    </row>
    <row r="584" spans="1:13" ht="15.75" customHeight="1">
      <c r="A584" s="51"/>
      <c r="B584" s="51"/>
      <c r="C584" s="52"/>
      <c r="D584" s="53"/>
      <c r="E584" s="35"/>
      <c r="F584" s="54"/>
      <c r="G584" s="51"/>
      <c r="H584" s="6"/>
      <c r="J584" s="8"/>
      <c r="M584" s="55"/>
    </row>
    <row r="585" spans="1:13" ht="15.75" customHeight="1">
      <c r="A585" s="51"/>
      <c r="B585" s="51"/>
      <c r="C585" s="52"/>
      <c r="D585" s="53"/>
      <c r="E585" s="35"/>
      <c r="F585" s="54"/>
      <c r="G585" s="51"/>
      <c r="H585" s="6"/>
      <c r="J585" s="8"/>
      <c r="M585" s="55"/>
    </row>
    <row r="586" spans="1:13" ht="15.75" customHeight="1">
      <c r="A586" s="51"/>
      <c r="B586" s="51"/>
      <c r="C586" s="52"/>
      <c r="D586" s="53"/>
      <c r="E586" s="35"/>
      <c r="F586" s="54"/>
      <c r="G586" s="51"/>
      <c r="H586" s="6"/>
      <c r="J586" s="8"/>
      <c r="M586" s="55"/>
    </row>
    <row r="587" spans="1:13" ht="15.75" customHeight="1">
      <c r="A587" s="51"/>
      <c r="B587" s="51"/>
      <c r="C587" s="52"/>
      <c r="D587" s="53"/>
      <c r="E587" s="35"/>
      <c r="F587" s="54"/>
      <c r="G587" s="51"/>
      <c r="H587" s="6"/>
      <c r="J587" s="8"/>
      <c r="M587" s="55"/>
    </row>
    <row r="588" spans="1:13" ht="15.75" customHeight="1">
      <c r="A588" s="51"/>
      <c r="B588" s="51"/>
      <c r="C588" s="52"/>
      <c r="D588" s="53"/>
      <c r="E588" s="35"/>
      <c r="F588" s="54"/>
      <c r="G588" s="51"/>
      <c r="H588" s="6"/>
      <c r="J588" s="8"/>
      <c r="M588" s="55"/>
    </row>
    <row r="589" spans="1:13" ht="15.75" customHeight="1">
      <c r="A589" s="51"/>
      <c r="B589" s="51"/>
      <c r="C589" s="52"/>
      <c r="D589" s="53"/>
      <c r="E589" s="35"/>
      <c r="F589" s="54"/>
      <c r="G589" s="51"/>
      <c r="H589" s="6"/>
      <c r="J589" s="8"/>
      <c r="M589" s="55"/>
    </row>
    <row r="590" spans="1:13" ht="15.75" customHeight="1">
      <c r="A590" s="51"/>
      <c r="B590" s="51"/>
      <c r="C590" s="52"/>
      <c r="D590" s="53"/>
      <c r="E590" s="35"/>
      <c r="F590" s="54"/>
      <c r="G590" s="51"/>
      <c r="H590" s="6"/>
      <c r="J590" s="8"/>
      <c r="M590" s="55"/>
    </row>
    <row r="591" spans="1:13" ht="15.75" customHeight="1">
      <c r="A591" s="51"/>
      <c r="B591" s="51"/>
      <c r="C591" s="52"/>
      <c r="D591" s="53"/>
      <c r="E591" s="35"/>
      <c r="F591" s="54"/>
      <c r="G591" s="51"/>
      <c r="H591" s="6"/>
      <c r="J591" s="8"/>
      <c r="M591" s="55"/>
    </row>
    <row r="592" spans="1:13" ht="15.75" customHeight="1">
      <c r="A592" s="51"/>
      <c r="B592" s="51"/>
      <c r="C592" s="52"/>
      <c r="D592" s="53"/>
      <c r="E592" s="35"/>
      <c r="F592" s="54"/>
      <c r="G592" s="51"/>
      <c r="H592" s="6"/>
      <c r="J592" s="8"/>
      <c r="M592" s="55"/>
    </row>
    <row r="593" spans="1:13" ht="15.75" customHeight="1">
      <c r="A593" s="51"/>
      <c r="B593" s="51"/>
      <c r="C593" s="52"/>
      <c r="D593" s="53"/>
      <c r="E593" s="35"/>
      <c r="F593" s="54"/>
      <c r="G593" s="51"/>
      <c r="H593" s="6"/>
      <c r="J593" s="8"/>
      <c r="M593" s="55"/>
    </row>
    <row r="594" spans="1:13" ht="15.75" customHeight="1">
      <c r="A594" s="51"/>
      <c r="B594" s="51"/>
      <c r="C594" s="52"/>
      <c r="D594" s="53"/>
      <c r="E594" s="35"/>
      <c r="F594" s="54"/>
      <c r="G594" s="51"/>
      <c r="H594" s="6"/>
      <c r="J594" s="8"/>
      <c r="M594" s="55"/>
    </row>
    <row r="595" spans="1:13" ht="15.75" customHeight="1">
      <c r="A595" s="51"/>
      <c r="B595" s="51"/>
      <c r="C595" s="52"/>
      <c r="D595" s="53"/>
      <c r="E595" s="35"/>
      <c r="F595" s="54"/>
      <c r="G595" s="51"/>
      <c r="H595" s="6"/>
      <c r="J595" s="8"/>
      <c r="M595" s="55"/>
    </row>
    <row r="596" spans="1:13" ht="15.75" customHeight="1">
      <c r="A596" s="51"/>
      <c r="B596" s="51"/>
      <c r="C596" s="52"/>
      <c r="D596" s="53"/>
      <c r="E596" s="35"/>
      <c r="F596" s="54"/>
      <c r="G596" s="51"/>
      <c r="H596" s="6"/>
      <c r="J596" s="8"/>
      <c r="M596" s="55"/>
    </row>
    <row r="597" spans="1:13" ht="15.75" customHeight="1">
      <c r="A597" s="51"/>
      <c r="B597" s="51"/>
      <c r="C597" s="52"/>
      <c r="D597" s="53"/>
      <c r="E597" s="35"/>
      <c r="F597" s="54"/>
      <c r="G597" s="51"/>
      <c r="H597" s="6"/>
      <c r="J597" s="8"/>
      <c r="M597" s="55"/>
    </row>
    <row r="598" spans="1:13" ht="15.75" customHeight="1">
      <c r="A598" s="51"/>
      <c r="B598" s="51"/>
      <c r="C598" s="52"/>
      <c r="D598" s="53"/>
      <c r="E598" s="35"/>
      <c r="F598" s="54"/>
      <c r="G598" s="51"/>
      <c r="H598" s="6"/>
      <c r="J598" s="8"/>
      <c r="M598" s="55"/>
    </row>
    <row r="599" spans="1:13" ht="15.75" customHeight="1">
      <c r="A599" s="51"/>
      <c r="B599" s="51"/>
      <c r="C599" s="52"/>
      <c r="D599" s="53"/>
      <c r="E599" s="35"/>
      <c r="F599" s="54"/>
      <c r="G599" s="51"/>
      <c r="H599" s="6"/>
      <c r="J599" s="8"/>
      <c r="M599" s="55"/>
    </row>
    <row r="600" spans="1:13" ht="15.75" customHeight="1">
      <c r="A600" s="51"/>
      <c r="B600" s="51"/>
      <c r="C600" s="52"/>
      <c r="D600" s="53"/>
      <c r="E600" s="35"/>
      <c r="F600" s="54"/>
      <c r="G600" s="51"/>
      <c r="H600" s="6"/>
      <c r="J600" s="8"/>
      <c r="M600" s="55"/>
    </row>
    <row r="601" spans="1:13" ht="15.75" customHeight="1">
      <c r="A601" s="51"/>
      <c r="B601" s="51"/>
      <c r="C601" s="52"/>
      <c r="D601" s="53"/>
      <c r="E601" s="35"/>
      <c r="F601" s="54"/>
      <c r="G601" s="51"/>
      <c r="H601" s="6"/>
      <c r="J601" s="8"/>
      <c r="M601" s="55"/>
    </row>
    <row r="602" spans="1:13" ht="15.75" customHeight="1">
      <c r="A602" s="51"/>
      <c r="B602" s="51"/>
      <c r="C602" s="52"/>
      <c r="D602" s="53"/>
      <c r="E602" s="35"/>
      <c r="F602" s="54"/>
      <c r="G602" s="51"/>
      <c r="H602" s="6"/>
      <c r="J602" s="8"/>
      <c r="M602" s="55"/>
    </row>
    <row r="603" spans="1:13" ht="15.75" customHeight="1">
      <c r="A603" s="51"/>
      <c r="B603" s="51"/>
      <c r="C603" s="52"/>
      <c r="D603" s="53"/>
      <c r="E603" s="35"/>
      <c r="F603" s="54"/>
      <c r="G603" s="51"/>
      <c r="H603" s="6"/>
      <c r="J603" s="8"/>
      <c r="M603" s="55"/>
    </row>
    <row r="604" spans="1:13" ht="15.75" customHeight="1">
      <c r="A604" s="51"/>
      <c r="B604" s="51"/>
      <c r="C604" s="52"/>
      <c r="D604" s="53"/>
      <c r="E604" s="35"/>
      <c r="F604" s="54"/>
      <c r="G604" s="51"/>
      <c r="H604" s="6"/>
      <c r="J604" s="8"/>
      <c r="M604" s="55"/>
    </row>
    <row r="605" spans="1:13" ht="15.75" customHeight="1">
      <c r="A605" s="51"/>
      <c r="B605" s="51"/>
      <c r="C605" s="52"/>
      <c r="D605" s="53"/>
      <c r="E605" s="35"/>
      <c r="F605" s="54"/>
      <c r="G605" s="51"/>
      <c r="H605" s="6"/>
      <c r="J605" s="8"/>
      <c r="M605" s="55"/>
    </row>
    <row r="606" spans="1:13" ht="15.75" customHeight="1">
      <c r="A606" s="51"/>
      <c r="B606" s="51"/>
      <c r="C606" s="52"/>
      <c r="D606" s="53"/>
      <c r="E606" s="35"/>
      <c r="F606" s="54"/>
      <c r="G606" s="51"/>
      <c r="H606" s="6"/>
      <c r="J606" s="8"/>
      <c r="M606" s="55"/>
    </row>
    <row r="607" spans="1:13" ht="15.75" customHeight="1">
      <c r="A607" s="51"/>
      <c r="B607" s="51"/>
      <c r="C607" s="52"/>
      <c r="D607" s="53"/>
      <c r="E607" s="35"/>
      <c r="F607" s="54"/>
      <c r="G607" s="51"/>
      <c r="H607" s="6"/>
      <c r="J607" s="8"/>
      <c r="M607" s="55"/>
    </row>
    <row r="608" spans="1:13" ht="15.75" customHeight="1">
      <c r="A608" s="51"/>
      <c r="B608" s="51"/>
      <c r="C608" s="52"/>
      <c r="D608" s="53"/>
      <c r="E608" s="35"/>
      <c r="F608" s="54"/>
      <c r="G608" s="51"/>
      <c r="H608" s="6"/>
      <c r="J608" s="8"/>
      <c r="M608" s="55"/>
    </row>
    <row r="609" spans="1:13" ht="15.75" customHeight="1">
      <c r="A609" s="51"/>
      <c r="B609" s="51"/>
      <c r="C609" s="52"/>
      <c r="D609" s="53"/>
      <c r="E609" s="35"/>
      <c r="F609" s="54"/>
      <c r="G609" s="51"/>
      <c r="H609" s="6"/>
      <c r="J609" s="8"/>
      <c r="M609" s="55"/>
    </row>
    <row r="610" spans="1:13" ht="15.75" customHeight="1">
      <c r="A610" s="51"/>
      <c r="B610" s="51"/>
      <c r="C610" s="52"/>
      <c r="D610" s="53"/>
      <c r="E610" s="35"/>
      <c r="F610" s="54"/>
      <c r="G610" s="51"/>
      <c r="H610" s="6"/>
      <c r="J610" s="8"/>
      <c r="M610" s="55"/>
    </row>
    <row r="611" spans="1:13" ht="15.75" customHeight="1">
      <c r="A611" s="51"/>
      <c r="B611" s="51"/>
      <c r="C611" s="52"/>
      <c r="D611" s="53"/>
      <c r="E611" s="35"/>
      <c r="F611" s="54"/>
      <c r="G611" s="51"/>
      <c r="H611" s="6"/>
      <c r="J611" s="8"/>
      <c r="M611" s="55"/>
    </row>
    <row r="612" spans="1:13" ht="15.75" customHeight="1">
      <c r="A612" s="51"/>
      <c r="B612" s="51"/>
      <c r="C612" s="52"/>
      <c r="D612" s="53"/>
      <c r="E612" s="35"/>
      <c r="F612" s="54"/>
      <c r="G612" s="51"/>
      <c r="H612" s="6"/>
      <c r="J612" s="8"/>
      <c r="M612" s="55"/>
    </row>
    <row r="613" spans="1:13" ht="15.75" customHeight="1">
      <c r="A613" s="51"/>
      <c r="B613" s="51"/>
      <c r="C613" s="52"/>
      <c r="D613" s="53"/>
      <c r="E613" s="35"/>
      <c r="F613" s="54"/>
      <c r="G613" s="51"/>
      <c r="H613" s="6"/>
      <c r="J613" s="8"/>
      <c r="M613" s="55"/>
    </row>
    <row r="614" spans="1:13" ht="15.75" customHeight="1">
      <c r="A614" s="51"/>
      <c r="B614" s="51"/>
      <c r="C614" s="52"/>
      <c r="D614" s="53"/>
      <c r="E614" s="35"/>
      <c r="F614" s="54"/>
      <c r="G614" s="51"/>
      <c r="H614" s="6"/>
      <c r="J614" s="8"/>
      <c r="M614" s="55"/>
    </row>
    <row r="615" spans="1:13" ht="15.75" customHeight="1">
      <c r="A615" s="51"/>
      <c r="B615" s="51"/>
      <c r="C615" s="52"/>
      <c r="D615" s="53"/>
      <c r="E615" s="35"/>
      <c r="F615" s="54"/>
      <c r="G615" s="51"/>
      <c r="H615" s="6"/>
      <c r="J615" s="8"/>
      <c r="M615" s="55"/>
    </row>
    <row r="616" spans="1:13" ht="15.75" customHeight="1">
      <c r="A616" s="51"/>
      <c r="B616" s="51"/>
      <c r="C616" s="52"/>
      <c r="D616" s="53"/>
      <c r="E616" s="35"/>
      <c r="F616" s="54"/>
      <c r="G616" s="51"/>
      <c r="H616" s="6"/>
      <c r="J616" s="8"/>
      <c r="M616" s="55"/>
    </row>
    <row r="617" spans="1:13" ht="15.75" customHeight="1">
      <c r="A617" s="51"/>
      <c r="B617" s="51"/>
      <c r="C617" s="52"/>
      <c r="D617" s="53"/>
      <c r="E617" s="35"/>
      <c r="F617" s="54"/>
      <c r="G617" s="51"/>
      <c r="H617" s="6"/>
      <c r="J617" s="8"/>
      <c r="M617" s="55"/>
    </row>
    <row r="618" spans="1:13" ht="15.75" customHeight="1">
      <c r="A618" s="51"/>
      <c r="B618" s="51"/>
      <c r="C618" s="52"/>
      <c r="D618" s="53"/>
      <c r="E618" s="35"/>
      <c r="F618" s="54"/>
      <c r="G618" s="51"/>
      <c r="H618" s="6"/>
      <c r="J618" s="8"/>
      <c r="M618" s="55"/>
    </row>
    <row r="619" spans="1:13" ht="15.75" customHeight="1">
      <c r="A619" s="51"/>
      <c r="B619" s="51"/>
      <c r="C619" s="52"/>
      <c r="D619" s="53"/>
      <c r="E619" s="35"/>
      <c r="F619" s="54"/>
      <c r="G619" s="51"/>
      <c r="H619" s="6"/>
      <c r="J619" s="8"/>
      <c r="M619" s="55"/>
    </row>
    <row r="620" spans="1:13" ht="15.75" customHeight="1">
      <c r="A620" s="51"/>
      <c r="B620" s="51"/>
      <c r="C620" s="52"/>
      <c r="D620" s="53"/>
      <c r="E620" s="35"/>
      <c r="F620" s="54"/>
      <c r="G620" s="51"/>
      <c r="H620" s="6"/>
      <c r="J620" s="8"/>
      <c r="M620" s="55"/>
    </row>
    <row r="621" spans="1:13" ht="15.75" customHeight="1">
      <c r="A621" s="51"/>
      <c r="B621" s="51"/>
      <c r="C621" s="52"/>
      <c r="D621" s="53"/>
      <c r="E621" s="35"/>
      <c r="F621" s="54"/>
      <c r="G621" s="51"/>
      <c r="H621" s="6"/>
      <c r="J621" s="8"/>
      <c r="M621" s="55"/>
    </row>
    <row r="622" spans="1:13" ht="15.75" customHeight="1">
      <c r="A622" s="51"/>
      <c r="B622" s="51"/>
      <c r="C622" s="52"/>
      <c r="D622" s="53"/>
      <c r="E622" s="35"/>
      <c r="F622" s="54"/>
      <c r="G622" s="51"/>
      <c r="H622" s="6"/>
      <c r="J622" s="8"/>
      <c r="M622" s="55"/>
    </row>
    <row r="623" spans="1:13" ht="15.75" customHeight="1">
      <c r="A623" s="51"/>
      <c r="B623" s="51"/>
      <c r="C623" s="52"/>
      <c r="D623" s="53"/>
      <c r="E623" s="35"/>
      <c r="F623" s="54"/>
      <c r="G623" s="51"/>
      <c r="H623" s="6"/>
      <c r="J623" s="8"/>
      <c r="M623" s="55"/>
    </row>
    <row r="624" spans="1:13" ht="15.75" customHeight="1">
      <c r="A624" s="51"/>
      <c r="B624" s="51"/>
      <c r="C624" s="52"/>
      <c r="D624" s="53"/>
      <c r="E624" s="35"/>
      <c r="F624" s="54"/>
      <c r="G624" s="51"/>
      <c r="H624" s="6"/>
      <c r="J624" s="8"/>
      <c r="M624" s="55"/>
    </row>
    <row r="625" spans="1:13" ht="15.75" customHeight="1">
      <c r="A625" s="51"/>
      <c r="B625" s="51"/>
      <c r="C625" s="52"/>
      <c r="D625" s="53"/>
      <c r="E625" s="35"/>
      <c r="F625" s="54"/>
      <c r="G625" s="51"/>
      <c r="H625" s="6"/>
      <c r="J625" s="8"/>
      <c r="M625" s="55"/>
    </row>
    <row r="626" spans="1:13" ht="15.75" customHeight="1">
      <c r="A626" s="51"/>
      <c r="B626" s="51"/>
      <c r="C626" s="52"/>
      <c r="D626" s="53"/>
      <c r="E626" s="35"/>
      <c r="F626" s="54"/>
      <c r="G626" s="51"/>
      <c r="H626" s="6"/>
      <c r="J626" s="8"/>
      <c r="M626" s="55"/>
    </row>
    <row r="627" spans="1:13" ht="15.75" customHeight="1">
      <c r="A627" s="51"/>
      <c r="B627" s="51"/>
      <c r="C627" s="52"/>
      <c r="D627" s="53"/>
      <c r="E627" s="35"/>
      <c r="F627" s="54"/>
      <c r="G627" s="51"/>
      <c r="H627" s="6"/>
      <c r="J627" s="8"/>
      <c r="M627" s="55"/>
    </row>
    <row r="628" spans="1:13" ht="15.75" customHeight="1">
      <c r="A628" s="51"/>
      <c r="B628" s="51"/>
      <c r="C628" s="52"/>
      <c r="D628" s="53"/>
      <c r="E628" s="35"/>
      <c r="F628" s="54"/>
      <c r="G628" s="51"/>
      <c r="H628" s="6"/>
      <c r="J628" s="8"/>
      <c r="M628" s="55"/>
    </row>
    <row r="629" spans="1:13" ht="15.75" customHeight="1">
      <c r="A629" s="51"/>
      <c r="B629" s="51"/>
      <c r="C629" s="52"/>
      <c r="D629" s="53"/>
      <c r="E629" s="35"/>
      <c r="F629" s="54"/>
      <c r="G629" s="51"/>
      <c r="H629" s="6"/>
      <c r="J629" s="8"/>
      <c r="M629" s="55"/>
    </row>
    <row r="630" spans="1:13" ht="15.75" customHeight="1">
      <c r="A630" s="51"/>
      <c r="B630" s="51"/>
      <c r="C630" s="52"/>
      <c r="D630" s="53"/>
      <c r="E630" s="35"/>
      <c r="F630" s="54"/>
      <c r="G630" s="51"/>
      <c r="H630" s="6"/>
      <c r="J630" s="8"/>
      <c r="M630" s="55"/>
    </row>
    <row r="631" spans="1:13" ht="15.75" customHeight="1">
      <c r="A631" s="51"/>
      <c r="B631" s="51"/>
      <c r="C631" s="52"/>
      <c r="D631" s="53"/>
      <c r="E631" s="35"/>
      <c r="F631" s="54"/>
      <c r="G631" s="51"/>
      <c r="H631" s="6"/>
      <c r="J631" s="8"/>
      <c r="M631" s="55"/>
    </row>
    <row r="632" spans="1:13" ht="15.75" customHeight="1">
      <c r="A632" s="51"/>
      <c r="B632" s="51"/>
      <c r="C632" s="52"/>
      <c r="D632" s="53"/>
      <c r="E632" s="35"/>
      <c r="F632" s="54"/>
      <c r="G632" s="51"/>
      <c r="H632" s="6"/>
      <c r="J632" s="8"/>
      <c r="M632" s="55"/>
    </row>
    <row r="633" spans="1:13" ht="15.75" customHeight="1">
      <c r="A633" s="51"/>
      <c r="B633" s="51"/>
      <c r="C633" s="52"/>
      <c r="D633" s="53"/>
      <c r="E633" s="35"/>
      <c r="F633" s="54"/>
      <c r="G633" s="51"/>
      <c r="H633" s="6"/>
      <c r="J633" s="8"/>
      <c r="M633" s="55"/>
    </row>
    <row r="634" spans="1:13" ht="15.75" customHeight="1">
      <c r="A634" s="51"/>
      <c r="B634" s="51"/>
      <c r="C634" s="52"/>
      <c r="D634" s="53"/>
      <c r="E634" s="35"/>
      <c r="F634" s="54"/>
      <c r="G634" s="51"/>
      <c r="H634" s="6"/>
      <c r="J634" s="8"/>
      <c r="M634" s="55"/>
    </row>
    <row r="635" spans="1:13" ht="15.75" customHeight="1">
      <c r="A635" s="51"/>
      <c r="B635" s="51"/>
      <c r="C635" s="52"/>
      <c r="D635" s="53"/>
      <c r="E635" s="35"/>
      <c r="F635" s="54"/>
      <c r="G635" s="51"/>
      <c r="H635" s="6"/>
      <c r="J635" s="8"/>
      <c r="M635" s="55"/>
    </row>
    <row r="636" spans="1:13" ht="15.75" customHeight="1">
      <c r="A636" s="51"/>
      <c r="B636" s="51"/>
      <c r="C636" s="52"/>
      <c r="D636" s="53"/>
      <c r="E636" s="35"/>
      <c r="F636" s="54"/>
      <c r="G636" s="51"/>
      <c r="H636" s="6"/>
      <c r="J636" s="8"/>
      <c r="M636" s="55"/>
    </row>
    <row r="637" spans="1:13" ht="15.75" customHeight="1">
      <c r="A637" s="51"/>
      <c r="B637" s="51"/>
      <c r="C637" s="52"/>
      <c r="D637" s="53"/>
      <c r="E637" s="35"/>
      <c r="F637" s="54"/>
      <c r="G637" s="51"/>
      <c r="H637" s="6"/>
      <c r="J637" s="8"/>
      <c r="M637" s="55"/>
    </row>
    <row r="638" spans="1:13" ht="15.75" customHeight="1">
      <c r="A638" s="51"/>
      <c r="B638" s="51"/>
      <c r="C638" s="52"/>
      <c r="D638" s="53"/>
      <c r="E638" s="35"/>
      <c r="F638" s="54"/>
      <c r="G638" s="51"/>
      <c r="H638" s="6"/>
      <c r="J638" s="8"/>
      <c r="M638" s="55"/>
    </row>
    <row r="639" spans="1:13" ht="15.75" customHeight="1">
      <c r="A639" s="51"/>
      <c r="B639" s="51"/>
      <c r="C639" s="52"/>
      <c r="D639" s="53"/>
      <c r="E639" s="35"/>
      <c r="F639" s="54"/>
      <c r="G639" s="51"/>
      <c r="H639" s="6"/>
      <c r="J639" s="8"/>
      <c r="M639" s="55"/>
    </row>
    <row r="640" spans="1:13" ht="15.75" customHeight="1">
      <c r="A640" s="51"/>
      <c r="B640" s="51"/>
      <c r="C640" s="52"/>
      <c r="D640" s="53"/>
      <c r="E640" s="35"/>
      <c r="F640" s="54"/>
      <c r="G640" s="51"/>
      <c r="H640" s="6"/>
      <c r="J640" s="8"/>
      <c r="M640" s="55"/>
    </row>
    <row r="641" spans="1:13" ht="15.75" customHeight="1">
      <c r="A641" s="51"/>
      <c r="B641" s="51"/>
      <c r="C641" s="52"/>
      <c r="D641" s="53"/>
      <c r="E641" s="35"/>
      <c r="F641" s="54"/>
      <c r="G641" s="51"/>
      <c r="H641" s="6"/>
      <c r="J641" s="8"/>
      <c r="M641" s="55"/>
    </row>
    <row r="642" spans="1:13" ht="15.75" customHeight="1">
      <c r="A642" s="51"/>
      <c r="B642" s="51"/>
      <c r="C642" s="52"/>
      <c r="D642" s="53"/>
      <c r="E642" s="35"/>
      <c r="F642" s="54"/>
      <c r="G642" s="51"/>
      <c r="H642" s="6"/>
      <c r="J642" s="8"/>
      <c r="M642" s="55"/>
    </row>
    <row r="643" spans="1:13" ht="15.75" customHeight="1">
      <c r="A643" s="51"/>
      <c r="B643" s="51"/>
      <c r="C643" s="52"/>
      <c r="D643" s="53"/>
      <c r="E643" s="35"/>
      <c r="F643" s="54"/>
      <c r="G643" s="51"/>
      <c r="H643" s="6"/>
      <c r="J643" s="8"/>
      <c r="M643" s="55"/>
    </row>
    <row r="644" spans="1:13" ht="15.75" customHeight="1">
      <c r="A644" s="51"/>
      <c r="B644" s="51"/>
      <c r="C644" s="52"/>
      <c r="D644" s="53"/>
      <c r="E644" s="35"/>
      <c r="F644" s="54"/>
      <c r="G644" s="51"/>
      <c r="H644" s="6"/>
      <c r="J644" s="8"/>
      <c r="M644" s="55"/>
    </row>
    <row r="645" spans="1:13" ht="15.75" customHeight="1">
      <c r="A645" s="51"/>
      <c r="B645" s="51"/>
      <c r="C645" s="52"/>
      <c r="D645" s="53"/>
      <c r="E645" s="35"/>
      <c r="F645" s="54"/>
      <c r="G645" s="51"/>
      <c r="H645" s="6"/>
      <c r="J645" s="8"/>
      <c r="M645" s="55"/>
    </row>
    <row r="646" spans="1:13" ht="15.75" customHeight="1">
      <c r="A646" s="51"/>
      <c r="B646" s="51"/>
      <c r="C646" s="52"/>
      <c r="D646" s="53"/>
      <c r="E646" s="35"/>
      <c r="F646" s="54"/>
      <c r="G646" s="51"/>
      <c r="H646" s="6"/>
      <c r="J646" s="8"/>
      <c r="M646" s="55"/>
    </row>
    <row r="647" spans="1:13" ht="15.75" customHeight="1">
      <c r="A647" s="51"/>
      <c r="B647" s="51"/>
      <c r="C647" s="52"/>
      <c r="D647" s="53"/>
      <c r="E647" s="35"/>
      <c r="F647" s="54"/>
      <c r="G647" s="51"/>
      <c r="H647" s="6"/>
      <c r="J647" s="8"/>
      <c r="M647" s="55"/>
    </row>
    <row r="648" spans="1:13" ht="15.75" customHeight="1">
      <c r="A648" s="51"/>
      <c r="B648" s="51"/>
      <c r="C648" s="52"/>
      <c r="D648" s="53"/>
      <c r="E648" s="35"/>
      <c r="F648" s="54"/>
      <c r="G648" s="51"/>
      <c r="H648" s="6"/>
      <c r="J648" s="8"/>
      <c r="M648" s="55"/>
    </row>
    <row r="649" spans="1:13" ht="15.75" customHeight="1">
      <c r="A649" s="51"/>
      <c r="B649" s="51"/>
      <c r="C649" s="52"/>
      <c r="D649" s="53"/>
      <c r="E649" s="35"/>
      <c r="F649" s="54"/>
      <c r="G649" s="51"/>
      <c r="H649" s="6"/>
      <c r="J649" s="8"/>
      <c r="M649" s="55"/>
    </row>
    <row r="650" spans="1:13" ht="15.75" customHeight="1">
      <c r="A650" s="51"/>
      <c r="B650" s="51"/>
      <c r="C650" s="52"/>
      <c r="D650" s="53"/>
      <c r="E650" s="35"/>
      <c r="F650" s="54"/>
      <c r="G650" s="51"/>
      <c r="H650" s="6"/>
      <c r="J650" s="8"/>
      <c r="M650" s="55"/>
    </row>
    <row r="651" spans="1:13" ht="15.75" customHeight="1">
      <c r="A651" s="51"/>
      <c r="B651" s="51"/>
      <c r="C651" s="52"/>
      <c r="D651" s="53"/>
      <c r="E651" s="35"/>
      <c r="F651" s="54"/>
      <c r="G651" s="51"/>
      <c r="H651" s="6"/>
      <c r="J651" s="8"/>
      <c r="M651" s="55"/>
    </row>
    <row r="652" spans="1:13" ht="15.75" customHeight="1">
      <c r="A652" s="51"/>
      <c r="B652" s="51"/>
      <c r="C652" s="52"/>
      <c r="D652" s="53"/>
      <c r="E652" s="35"/>
      <c r="F652" s="54"/>
      <c r="G652" s="51"/>
      <c r="H652" s="6"/>
      <c r="J652" s="8"/>
      <c r="M652" s="55"/>
    </row>
    <row r="653" spans="1:13" ht="15.75" customHeight="1">
      <c r="A653" s="51"/>
      <c r="B653" s="51"/>
      <c r="C653" s="52"/>
      <c r="D653" s="53"/>
      <c r="E653" s="35"/>
      <c r="F653" s="54"/>
      <c r="G653" s="51"/>
      <c r="H653" s="6"/>
      <c r="J653" s="8"/>
      <c r="M653" s="55"/>
    </row>
    <row r="654" spans="1:13" ht="15.75" customHeight="1">
      <c r="A654" s="51"/>
      <c r="B654" s="51"/>
      <c r="C654" s="52"/>
      <c r="D654" s="53"/>
      <c r="E654" s="35"/>
      <c r="F654" s="54"/>
      <c r="G654" s="51"/>
      <c r="H654" s="6"/>
      <c r="J654" s="8"/>
      <c r="M654" s="55"/>
    </row>
    <row r="655" spans="1:13" ht="15.75" customHeight="1">
      <c r="A655" s="51"/>
      <c r="B655" s="51"/>
      <c r="C655" s="52"/>
      <c r="D655" s="53"/>
      <c r="E655" s="35"/>
      <c r="F655" s="54"/>
      <c r="G655" s="51"/>
      <c r="H655" s="6"/>
      <c r="J655" s="8"/>
      <c r="M655" s="55"/>
    </row>
    <row r="656" spans="1:13" ht="15.75" customHeight="1">
      <c r="A656" s="51"/>
      <c r="B656" s="51"/>
      <c r="C656" s="52"/>
      <c r="D656" s="53"/>
      <c r="E656" s="35"/>
      <c r="F656" s="54"/>
      <c r="G656" s="51"/>
      <c r="H656" s="6"/>
      <c r="J656" s="8"/>
      <c r="M656" s="55"/>
    </row>
    <row r="657" spans="1:13" ht="15.75" customHeight="1">
      <c r="A657" s="51"/>
      <c r="B657" s="51"/>
      <c r="C657" s="52"/>
      <c r="D657" s="53"/>
      <c r="E657" s="35"/>
      <c r="F657" s="54"/>
      <c r="G657" s="51"/>
      <c r="H657" s="6"/>
      <c r="J657" s="8"/>
      <c r="M657" s="55"/>
    </row>
    <row r="658" spans="1:13" ht="15.75" customHeight="1">
      <c r="A658" s="51"/>
      <c r="B658" s="51"/>
      <c r="C658" s="52"/>
      <c r="D658" s="53"/>
      <c r="E658" s="35"/>
      <c r="F658" s="54"/>
      <c r="G658" s="51"/>
      <c r="H658" s="6"/>
      <c r="J658" s="8"/>
      <c r="M658" s="55"/>
    </row>
    <row r="659" spans="1:13" ht="15.75" customHeight="1">
      <c r="A659" s="51"/>
      <c r="B659" s="51"/>
      <c r="C659" s="52"/>
      <c r="D659" s="53"/>
      <c r="E659" s="35"/>
      <c r="F659" s="54"/>
      <c r="G659" s="51"/>
      <c r="H659" s="6"/>
      <c r="J659" s="8"/>
      <c r="M659" s="55"/>
    </row>
    <row r="660" spans="1:13" ht="15.75" customHeight="1">
      <c r="A660" s="51"/>
      <c r="B660" s="51"/>
      <c r="C660" s="52"/>
      <c r="D660" s="53"/>
      <c r="E660" s="35"/>
      <c r="F660" s="54"/>
      <c r="G660" s="51"/>
      <c r="H660" s="6"/>
      <c r="J660" s="8"/>
      <c r="M660" s="55"/>
    </row>
    <row r="661" spans="1:13" ht="15.75" customHeight="1">
      <c r="A661" s="51"/>
      <c r="B661" s="51"/>
      <c r="C661" s="52"/>
      <c r="D661" s="53"/>
      <c r="E661" s="35"/>
      <c r="F661" s="54"/>
      <c r="G661" s="51"/>
      <c r="H661" s="6"/>
      <c r="J661" s="8"/>
      <c r="M661" s="55"/>
    </row>
    <row r="662" spans="1:13" ht="15.75" customHeight="1">
      <c r="A662" s="51"/>
      <c r="B662" s="51"/>
      <c r="C662" s="52"/>
      <c r="D662" s="53"/>
      <c r="E662" s="35"/>
      <c r="F662" s="54"/>
      <c r="G662" s="51"/>
      <c r="H662" s="6"/>
      <c r="J662" s="8"/>
      <c r="M662" s="55"/>
    </row>
    <row r="663" spans="1:13" ht="15.75" customHeight="1">
      <c r="A663" s="51"/>
      <c r="B663" s="51"/>
      <c r="C663" s="52"/>
      <c r="D663" s="53"/>
      <c r="E663" s="35"/>
      <c r="F663" s="54"/>
      <c r="G663" s="51"/>
      <c r="H663" s="6"/>
      <c r="J663" s="8"/>
      <c r="M663" s="55"/>
    </row>
    <row r="664" spans="1:13" ht="15.75" customHeight="1">
      <c r="A664" s="51"/>
      <c r="B664" s="51"/>
      <c r="C664" s="52"/>
      <c r="D664" s="53"/>
      <c r="E664" s="35"/>
      <c r="F664" s="54"/>
      <c r="G664" s="51"/>
      <c r="H664" s="6"/>
      <c r="J664" s="8"/>
      <c r="M664" s="55"/>
    </row>
    <row r="665" spans="1:13" ht="15.75" customHeight="1">
      <c r="A665" s="51"/>
      <c r="B665" s="51"/>
      <c r="C665" s="52"/>
      <c r="D665" s="53"/>
      <c r="E665" s="35"/>
      <c r="F665" s="54"/>
      <c r="G665" s="51"/>
      <c r="H665" s="6"/>
      <c r="J665" s="8"/>
      <c r="M665" s="55"/>
    </row>
    <row r="666" spans="1:13" ht="15.75" customHeight="1">
      <c r="A666" s="51"/>
      <c r="B666" s="51"/>
      <c r="C666" s="52"/>
      <c r="D666" s="53"/>
      <c r="E666" s="35"/>
      <c r="F666" s="54"/>
      <c r="G666" s="51"/>
      <c r="H666" s="6"/>
      <c r="J666" s="8"/>
      <c r="M666" s="55"/>
    </row>
    <row r="667" spans="1:13" ht="15.75" customHeight="1">
      <c r="A667" s="51"/>
      <c r="B667" s="51"/>
      <c r="C667" s="52"/>
      <c r="D667" s="53"/>
      <c r="E667" s="35"/>
      <c r="F667" s="54"/>
      <c r="G667" s="51"/>
      <c r="H667" s="6"/>
      <c r="J667" s="8"/>
      <c r="M667" s="55"/>
    </row>
    <row r="668" spans="1:13" ht="15.75" customHeight="1">
      <c r="A668" s="51"/>
      <c r="B668" s="51"/>
      <c r="C668" s="52"/>
      <c r="D668" s="53"/>
      <c r="E668" s="35"/>
      <c r="F668" s="54"/>
      <c r="G668" s="51"/>
      <c r="H668" s="6"/>
      <c r="J668" s="8"/>
      <c r="M668" s="55"/>
    </row>
    <row r="669" spans="1:13" ht="15.75" customHeight="1">
      <c r="A669" s="51"/>
      <c r="B669" s="51"/>
      <c r="C669" s="52"/>
      <c r="D669" s="53"/>
      <c r="E669" s="35"/>
      <c r="F669" s="54"/>
      <c r="G669" s="51"/>
      <c r="H669" s="6"/>
      <c r="J669" s="8"/>
      <c r="M669" s="55"/>
    </row>
    <row r="670" spans="1:13" ht="15.75" customHeight="1">
      <c r="A670" s="51"/>
      <c r="B670" s="51"/>
      <c r="C670" s="52"/>
      <c r="D670" s="53"/>
      <c r="E670" s="35"/>
      <c r="F670" s="54"/>
      <c r="G670" s="51"/>
      <c r="H670" s="6"/>
      <c r="J670" s="8"/>
      <c r="M670" s="55"/>
    </row>
    <row r="671" spans="1:13" ht="15.75" customHeight="1">
      <c r="A671" s="51"/>
      <c r="B671" s="51"/>
      <c r="C671" s="52"/>
      <c r="D671" s="53"/>
      <c r="E671" s="35"/>
      <c r="F671" s="54"/>
      <c r="G671" s="51"/>
      <c r="H671" s="6"/>
      <c r="J671" s="8"/>
      <c r="M671" s="55"/>
    </row>
    <row r="672" spans="1:13" ht="15.75" customHeight="1">
      <c r="A672" s="51"/>
      <c r="B672" s="51"/>
      <c r="C672" s="52"/>
      <c r="D672" s="53"/>
      <c r="E672" s="35"/>
      <c r="F672" s="54"/>
      <c r="G672" s="51"/>
      <c r="H672" s="6"/>
      <c r="J672" s="8"/>
      <c r="M672" s="55"/>
    </row>
    <row r="673" spans="1:13" ht="15.75" customHeight="1">
      <c r="A673" s="51"/>
      <c r="B673" s="51"/>
      <c r="C673" s="52"/>
      <c r="D673" s="53"/>
      <c r="E673" s="35"/>
      <c r="F673" s="54"/>
      <c r="G673" s="51"/>
      <c r="H673" s="6"/>
      <c r="J673" s="8"/>
      <c r="M673" s="55"/>
    </row>
    <row r="674" spans="1:13" ht="15.75" customHeight="1">
      <c r="A674" s="51"/>
      <c r="B674" s="51"/>
      <c r="C674" s="52"/>
      <c r="D674" s="53"/>
      <c r="E674" s="35"/>
      <c r="F674" s="54"/>
      <c r="G674" s="51"/>
      <c r="H674" s="6"/>
      <c r="J674" s="8"/>
      <c r="M674" s="55"/>
    </row>
    <row r="675" spans="1:13" ht="15.75" customHeight="1">
      <c r="A675" s="51"/>
      <c r="B675" s="51"/>
      <c r="C675" s="52"/>
      <c r="D675" s="53"/>
      <c r="E675" s="35"/>
      <c r="F675" s="54"/>
      <c r="G675" s="51"/>
      <c r="H675" s="6"/>
      <c r="J675" s="8"/>
      <c r="M675" s="55"/>
    </row>
    <row r="676" spans="1:13" ht="15.75" customHeight="1">
      <c r="A676" s="51"/>
      <c r="B676" s="51"/>
      <c r="C676" s="52"/>
      <c r="D676" s="53"/>
      <c r="E676" s="35"/>
      <c r="F676" s="54"/>
      <c r="G676" s="51"/>
      <c r="H676" s="6"/>
      <c r="J676" s="8"/>
      <c r="M676" s="55"/>
    </row>
    <row r="677" spans="1:13" ht="15.75" customHeight="1">
      <c r="A677" s="51"/>
      <c r="B677" s="51"/>
      <c r="C677" s="52"/>
      <c r="D677" s="53"/>
      <c r="E677" s="35"/>
      <c r="F677" s="54"/>
      <c r="G677" s="51"/>
      <c r="H677" s="6"/>
      <c r="J677" s="8"/>
      <c r="M677" s="55"/>
    </row>
    <row r="678" spans="1:13" ht="15.75" customHeight="1">
      <c r="A678" s="51"/>
      <c r="B678" s="51"/>
      <c r="C678" s="52"/>
      <c r="D678" s="53"/>
      <c r="E678" s="35"/>
      <c r="F678" s="54"/>
      <c r="G678" s="51"/>
      <c r="H678" s="6"/>
      <c r="J678" s="8"/>
      <c r="M678" s="55"/>
    </row>
    <row r="679" spans="1:13" ht="15.75" customHeight="1">
      <c r="A679" s="51"/>
      <c r="B679" s="51"/>
      <c r="C679" s="52"/>
      <c r="D679" s="53"/>
      <c r="E679" s="35"/>
      <c r="F679" s="54"/>
      <c r="G679" s="51"/>
      <c r="H679" s="6"/>
      <c r="J679" s="8"/>
      <c r="M679" s="55"/>
    </row>
    <row r="680" spans="1:13" ht="15.75" customHeight="1">
      <c r="A680" s="51"/>
      <c r="B680" s="51"/>
      <c r="C680" s="52"/>
      <c r="D680" s="53"/>
      <c r="E680" s="35"/>
      <c r="F680" s="54"/>
      <c r="G680" s="51"/>
      <c r="H680" s="6"/>
      <c r="J680" s="8"/>
      <c r="M680" s="55"/>
    </row>
    <row r="681" spans="1:13" ht="15.75" customHeight="1">
      <c r="A681" s="51"/>
      <c r="B681" s="51"/>
      <c r="C681" s="52"/>
      <c r="D681" s="53"/>
      <c r="E681" s="35"/>
      <c r="F681" s="54"/>
      <c r="G681" s="51"/>
      <c r="H681" s="6"/>
      <c r="J681" s="8"/>
      <c r="M681" s="55"/>
    </row>
    <row r="682" spans="1:13" ht="15.75" customHeight="1">
      <c r="A682" s="51"/>
      <c r="B682" s="51"/>
      <c r="C682" s="52"/>
      <c r="D682" s="53"/>
      <c r="E682" s="35"/>
      <c r="F682" s="54"/>
      <c r="G682" s="51"/>
      <c r="H682" s="6"/>
      <c r="J682" s="8"/>
      <c r="M682" s="55"/>
    </row>
    <row r="683" spans="1:13" ht="15.75" customHeight="1">
      <c r="A683" s="51"/>
      <c r="B683" s="51"/>
      <c r="C683" s="52"/>
      <c r="D683" s="53"/>
      <c r="E683" s="35"/>
      <c r="F683" s="54"/>
      <c r="G683" s="51"/>
      <c r="H683" s="6"/>
      <c r="J683" s="8"/>
      <c r="M683" s="55"/>
    </row>
    <row r="684" spans="1:13" ht="15.75" customHeight="1">
      <c r="A684" s="51"/>
      <c r="B684" s="51"/>
      <c r="C684" s="52"/>
      <c r="D684" s="53"/>
      <c r="E684" s="35"/>
      <c r="F684" s="54"/>
      <c r="G684" s="51"/>
      <c r="H684" s="6"/>
      <c r="J684" s="8"/>
      <c r="M684" s="55"/>
    </row>
    <row r="685" spans="1:13" ht="15.75" customHeight="1">
      <c r="A685" s="51"/>
      <c r="B685" s="51"/>
      <c r="C685" s="52"/>
      <c r="D685" s="53"/>
      <c r="E685" s="35"/>
      <c r="F685" s="54"/>
      <c r="G685" s="51"/>
      <c r="H685" s="6"/>
      <c r="J685" s="8"/>
      <c r="M685" s="55"/>
    </row>
    <row r="686" spans="1:13" ht="15.75" customHeight="1">
      <c r="A686" s="51"/>
      <c r="B686" s="51"/>
      <c r="C686" s="52"/>
      <c r="D686" s="53"/>
      <c r="E686" s="35"/>
      <c r="F686" s="54"/>
      <c r="G686" s="51"/>
      <c r="H686" s="6"/>
      <c r="J686" s="8"/>
      <c r="M686" s="55"/>
    </row>
    <row r="687" spans="1:13" ht="15.75" customHeight="1">
      <c r="A687" s="51"/>
      <c r="B687" s="51"/>
      <c r="C687" s="52"/>
      <c r="D687" s="53"/>
      <c r="E687" s="35"/>
      <c r="F687" s="54"/>
      <c r="G687" s="51"/>
      <c r="H687" s="6"/>
      <c r="J687" s="8"/>
      <c r="M687" s="55"/>
    </row>
    <row r="688" spans="1:13" ht="15.75" customHeight="1">
      <c r="A688" s="51"/>
      <c r="B688" s="51"/>
      <c r="C688" s="52"/>
      <c r="D688" s="53"/>
      <c r="E688" s="35"/>
      <c r="F688" s="54"/>
      <c r="G688" s="51"/>
      <c r="H688" s="6"/>
      <c r="J688" s="8"/>
      <c r="M688" s="55"/>
    </row>
    <row r="689" spans="1:13" ht="15.75" customHeight="1">
      <c r="A689" s="51"/>
      <c r="B689" s="51"/>
      <c r="C689" s="52"/>
      <c r="D689" s="53"/>
      <c r="E689" s="35"/>
      <c r="F689" s="54"/>
      <c r="G689" s="51"/>
      <c r="H689" s="6"/>
      <c r="J689" s="8"/>
      <c r="M689" s="55"/>
    </row>
    <row r="690" spans="1:13" ht="15.75" customHeight="1">
      <c r="A690" s="51"/>
      <c r="B690" s="51"/>
      <c r="C690" s="52"/>
      <c r="D690" s="53"/>
      <c r="E690" s="35"/>
      <c r="F690" s="54"/>
      <c r="G690" s="51"/>
      <c r="H690" s="6"/>
      <c r="J690" s="8"/>
      <c r="M690" s="55"/>
    </row>
    <row r="691" spans="1:13" ht="15.75" customHeight="1">
      <c r="A691" s="51"/>
      <c r="B691" s="51"/>
      <c r="C691" s="52"/>
      <c r="D691" s="53"/>
      <c r="E691" s="35"/>
      <c r="F691" s="54"/>
      <c r="G691" s="51"/>
      <c r="H691" s="6"/>
      <c r="J691" s="8"/>
      <c r="M691" s="55"/>
    </row>
    <row r="692" spans="1:13" ht="15.75" customHeight="1">
      <c r="A692" s="51"/>
      <c r="B692" s="51"/>
      <c r="C692" s="52"/>
      <c r="D692" s="53"/>
      <c r="E692" s="35"/>
      <c r="F692" s="54"/>
      <c r="G692" s="51"/>
      <c r="H692" s="6"/>
      <c r="J692" s="8"/>
      <c r="M692" s="55"/>
    </row>
    <row r="693" spans="1:13" ht="15.75" customHeight="1">
      <c r="A693" s="51"/>
      <c r="B693" s="51"/>
      <c r="C693" s="52"/>
      <c r="D693" s="53"/>
      <c r="E693" s="35"/>
      <c r="F693" s="54"/>
      <c r="G693" s="51"/>
      <c r="H693" s="6"/>
      <c r="J693" s="8"/>
      <c r="M693" s="55"/>
    </row>
    <row r="694" spans="1:13" ht="15.75" customHeight="1">
      <c r="A694" s="51"/>
      <c r="B694" s="51"/>
      <c r="C694" s="52"/>
      <c r="D694" s="53"/>
      <c r="E694" s="35"/>
      <c r="F694" s="54"/>
      <c r="G694" s="51"/>
      <c r="H694" s="6"/>
      <c r="J694" s="8"/>
      <c r="M694" s="55"/>
    </row>
    <row r="695" spans="1:13" ht="15.75" customHeight="1">
      <c r="A695" s="51"/>
      <c r="B695" s="51"/>
      <c r="C695" s="52"/>
      <c r="D695" s="53"/>
      <c r="E695" s="35"/>
      <c r="F695" s="54"/>
      <c r="G695" s="51"/>
      <c r="H695" s="6"/>
      <c r="J695" s="8"/>
      <c r="M695" s="55"/>
    </row>
    <row r="696" spans="1:13" ht="15.75" customHeight="1">
      <c r="A696" s="51"/>
      <c r="B696" s="51"/>
      <c r="C696" s="52"/>
      <c r="D696" s="53"/>
      <c r="E696" s="35"/>
      <c r="F696" s="54"/>
      <c r="G696" s="51"/>
      <c r="H696" s="6"/>
      <c r="J696" s="8"/>
      <c r="M696" s="55"/>
    </row>
    <row r="697" spans="1:13" ht="15.75" customHeight="1">
      <c r="A697" s="51"/>
      <c r="B697" s="51"/>
      <c r="C697" s="52"/>
      <c r="D697" s="53"/>
      <c r="E697" s="35"/>
      <c r="F697" s="54"/>
      <c r="G697" s="51"/>
      <c r="H697" s="6"/>
      <c r="J697" s="8"/>
      <c r="M697" s="55"/>
    </row>
    <row r="698" spans="1:13" ht="15.75" customHeight="1">
      <c r="A698" s="51"/>
      <c r="B698" s="51"/>
      <c r="C698" s="52"/>
      <c r="D698" s="53"/>
      <c r="E698" s="35"/>
      <c r="F698" s="54"/>
      <c r="G698" s="51"/>
      <c r="H698" s="6"/>
      <c r="J698" s="8"/>
      <c r="M698" s="55"/>
    </row>
    <row r="699" spans="1:13" ht="15.75" customHeight="1">
      <c r="A699" s="51"/>
      <c r="B699" s="51"/>
      <c r="C699" s="52"/>
      <c r="D699" s="53"/>
      <c r="E699" s="35"/>
      <c r="F699" s="54"/>
      <c r="G699" s="51"/>
      <c r="H699" s="6"/>
      <c r="J699" s="8"/>
      <c r="M699" s="55"/>
    </row>
    <row r="700" spans="1:13" ht="15.75" customHeight="1">
      <c r="A700" s="51"/>
      <c r="B700" s="51"/>
      <c r="C700" s="52"/>
      <c r="D700" s="53"/>
      <c r="E700" s="35"/>
      <c r="F700" s="54"/>
      <c r="G700" s="51"/>
      <c r="H700" s="6"/>
      <c r="J700" s="8"/>
      <c r="M700" s="55"/>
    </row>
    <row r="701" spans="1:13" ht="15.75" customHeight="1">
      <c r="A701" s="51"/>
      <c r="B701" s="51"/>
      <c r="C701" s="52"/>
      <c r="D701" s="53"/>
      <c r="E701" s="35"/>
      <c r="F701" s="54"/>
      <c r="G701" s="51"/>
      <c r="H701" s="6"/>
      <c r="J701" s="8"/>
      <c r="M701" s="55"/>
    </row>
    <row r="702" spans="1:13" ht="15.75" customHeight="1">
      <c r="A702" s="51"/>
      <c r="B702" s="51"/>
      <c r="C702" s="52"/>
      <c r="D702" s="53"/>
      <c r="E702" s="35"/>
      <c r="F702" s="54"/>
      <c r="G702" s="51"/>
      <c r="H702" s="6"/>
      <c r="J702" s="8"/>
      <c r="M702" s="55"/>
    </row>
    <row r="703" spans="1:13" ht="15.75" customHeight="1">
      <c r="A703" s="51"/>
      <c r="B703" s="51"/>
      <c r="C703" s="52"/>
      <c r="D703" s="53"/>
      <c r="E703" s="35"/>
      <c r="F703" s="54"/>
      <c r="G703" s="51"/>
      <c r="H703" s="6"/>
      <c r="J703" s="8"/>
      <c r="M703" s="55"/>
    </row>
    <row r="704" spans="1:13" ht="15.75" customHeight="1">
      <c r="A704" s="51"/>
      <c r="B704" s="51"/>
      <c r="C704" s="52"/>
      <c r="D704" s="53"/>
      <c r="E704" s="35"/>
      <c r="F704" s="54"/>
      <c r="G704" s="51"/>
      <c r="H704" s="6"/>
      <c r="J704" s="8"/>
      <c r="M704" s="55"/>
    </row>
    <row r="705" spans="1:13" ht="15.75" customHeight="1">
      <c r="A705" s="51"/>
      <c r="B705" s="51"/>
      <c r="C705" s="52"/>
      <c r="D705" s="53"/>
      <c r="E705" s="35"/>
      <c r="F705" s="54"/>
      <c r="G705" s="51"/>
      <c r="H705" s="6"/>
      <c r="J705" s="8"/>
      <c r="M705" s="55"/>
    </row>
    <row r="706" spans="1:13" ht="15.75" customHeight="1">
      <c r="A706" s="51"/>
      <c r="B706" s="51"/>
      <c r="C706" s="52"/>
      <c r="D706" s="53"/>
      <c r="E706" s="35"/>
      <c r="F706" s="54"/>
      <c r="G706" s="51"/>
      <c r="H706" s="6"/>
      <c r="J706" s="8"/>
      <c r="M706" s="55"/>
    </row>
    <row r="707" spans="1:13" ht="15.75" customHeight="1">
      <c r="A707" s="51"/>
      <c r="B707" s="51"/>
      <c r="C707" s="52"/>
      <c r="D707" s="53"/>
      <c r="E707" s="35"/>
      <c r="F707" s="54"/>
      <c r="G707" s="51"/>
      <c r="H707" s="6"/>
      <c r="J707" s="8"/>
      <c r="M707" s="55"/>
    </row>
    <row r="708" spans="1:13" ht="15.75" customHeight="1">
      <c r="A708" s="51"/>
      <c r="B708" s="51"/>
      <c r="C708" s="52"/>
      <c r="D708" s="53"/>
      <c r="E708" s="35"/>
      <c r="F708" s="54"/>
      <c r="G708" s="51"/>
      <c r="H708" s="6"/>
      <c r="J708" s="8"/>
      <c r="M708" s="55"/>
    </row>
    <row r="709" spans="1:13" ht="15.75" customHeight="1">
      <c r="A709" s="51"/>
      <c r="B709" s="51"/>
      <c r="C709" s="52"/>
      <c r="D709" s="53"/>
      <c r="E709" s="35"/>
      <c r="F709" s="54"/>
      <c r="G709" s="51"/>
      <c r="H709" s="6"/>
      <c r="J709" s="8"/>
      <c r="M709" s="55"/>
    </row>
    <row r="710" spans="1:13" ht="15.75" customHeight="1">
      <c r="A710" s="51"/>
      <c r="B710" s="51"/>
      <c r="C710" s="52"/>
      <c r="D710" s="53"/>
      <c r="E710" s="35"/>
      <c r="F710" s="54"/>
      <c r="G710" s="51"/>
      <c r="H710" s="6"/>
      <c r="J710" s="8"/>
      <c r="M710" s="55"/>
    </row>
    <row r="711" spans="1:13" ht="15.75" customHeight="1">
      <c r="A711" s="51"/>
      <c r="B711" s="51"/>
      <c r="C711" s="52"/>
      <c r="D711" s="53"/>
      <c r="E711" s="35"/>
      <c r="F711" s="54"/>
      <c r="G711" s="51"/>
      <c r="H711" s="6"/>
      <c r="J711" s="8"/>
      <c r="M711" s="55"/>
    </row>
    <row r="712" spans="1:13" ht="15.75" customHeight="1">
      <c r="A712" s="51"/>
      <c r="B712" s="51"/>
      <c r="C712" s="52"/>
      <c r="D712" s="53"/>
      <c r="E712" s="35"/>
      <c r="F712" s="54"/>
      <c r="G712" s="51"/>
      <c r="H712" s="6"/>
      <c r="J712" s="8"/>
      <c r="M712" s="55"/>
    </row>
    <row r="713" spans="1:13" ht="15.75" customHeight="1">
      <c r="A713" s="51"/>
      <c r="B713" s="51"/>
      <c r="C713" s="52"/>
      <c r="D713" s="53"/>
      <c r="E713" s="35"/>
      <c r="F713" s="54"/>
      <c r="G713" s="51"/>
      <c r="H713" s="6"/>
      <c r="J713" s="8"/>
      <c r="M713" s="55"/>
    </row>
    <row r="714" spans="1:13" ht="15.75" customHeight="1">
      <c r="A714" s="51"/>
      <c r="B714" s="51"/>
      <c r="C714" s="52"/>
      <c r="D714" s="53"/>
      <c r="E714" s="35"/>
      <c r="F714" s="54"/>
      <c r="G714" s="51"/>
      <c r="H714" s="6"/>
      <c r="J714" s="8"/>
      <c r="M714" s="55"/>
    </row>
    <row r="715" spans="1:13" ht="15.75" customHeight="1">
      <c r="A715" s="51"/>
      <c r="B715" s="51"/>
      <c r="C715" s="52"/>
      <c r="D715" s="53"/>
      <c r="E715" s="35"/>
      <c r="F715" s="54"/>
      <c r="G715" s="51"/>
      <c r="H715" s="6"/>
      <c r="J715" s="8"/>
      <c r="M715" s="55"/>
    </row>
    <row r="716" spans="1:13" ht="15.75" customHeight="1">
      <c r="A716" s="51"/>
      <c r="B716" s="51"/>
      <c r="C716" s="52"/>
      <c r="D716" s="53"/>
      <c r="E716" s="35"/>
      <c r="F716" s="54"/>
      <c r="G716" s="51"/>
      <c r="H716" s="6"/>
      <c r="J716" s="8"/>
      <c r="M716" s="55"/>
    </row>
    <row r="717" spans="1:13" ht="15.75" customHeight="1">
      <c r="A717" s="51"/>
      <c r="B717" s="51"/>
      <c r="C717" s="52"/>
      <c r="D717" s="53"/>
      <c r="E717" s="35"/>
      <c r="F717" s="54"/>
      <c r="G717" s="51"/>
      <c r="H717" s="6"/>
      <c r="J717" s="8"/>
      <c r="M717" s="55"/>
    </row>
    <row r="718" spans="1:13" ht="15.75" customHeight="1">
      <c r="A718" s="51"/>
      <c r="B718" s="51"/>
      <c r="C718" s="52"/>
      <c r="D718" s="53"/>
      <c r="E718" s="35"/>
      <c r="F718" s="54"/>
      <c r="G718" s="51"/>
      <c r="H718" s="6"/>
      <c r="J718" s="8"/>
      <c r="M718" s="55"/>
    </row>
    <row r="719" spans="1:13" ht="15.75" customHeight="1">
      <c r="A719" s="51"/>
      <c r="B719" s="51"/>
      <c r="C719" s="52"/>
      <c r="D719" s="53"/>
      <c r="E719" s="35"/>
      <c r="F719" s="54"/>
      <c r="G719" s="51"/>
      <c r="H719" s="6"/>
      <c r="J719" s="8"/>
      <c r="M719" s="55"/>
    </row>
    <row r="720" spans="1:13" ht="15.75" customHeight="1">
      <c r="A720" s="51"/>
      <c r="B720" s="51"/>
      <c r="C720" s="52"/>
      <c r="D720" s="53"/>
      <c r="E720" s="35"/>
      <c r="F720" s="54"/>
      <c r="G720" s="51"/>
      <c r="H720" s="6"/>
      <c r="J720" s="8"/>
      <c r="M720" s="55"/>
    </row>
    <row r="721" spans="1:13" ht="15.75" customHeight="1">
      <c r="A721" s="51"/>
      <c r="B721" s="51"/>
      <c r="C721" s="52"/>
      <c r="D721" s="53"/>
      <c r="E721" s="35"/>
      <c r="F721" s="54"/>
      <c r="G721" s="51"/>
      <c r="H721" s="6"/>
      <c r="J721" s="8"/>
      <c r="M721" s="55"/>
    </row>
    <row r="722" spans="1:13" ht="15.75" customHeight="1">
      <c r="A722" s="51"/>
      <c r="B722" s="51"/>
      <c r="C722" s="52"/>
      <c r="D722" s="53"/>
      <c r="E722" s="35"/>
      <c r="F722" s="54"/>
      <c r="G722" s="51"/>
      <c r="H722" s="6"/>
      <c r="J722" s="8"/>
      <c r="M722" s="55"/>
    </row>
    <row r="723" spans="1:13" ht="15.75" customHeight="1">
      <c r="A723" s="51"/>
      <c r="B723" s="51"/>
      <c r="C723" s="52"/>
      <c r="D723" s="53"/>
      <c r="E723" s="35"/>
      <c r="F723" s="54"/>
      <c r="G723" s="51"/>
      <c r="H723" s="6"/>
      <c r="J723" s="8"/>
      <c r="M723" s="55"/>
    </row>
    <row r="724" spans="1:13" ht="15.75" customHeight="1">
      <c r="A724" s="51"/>
      <c r="B724" s="51"/>
      <c r="C724" s="52"/>
      <c r="D724" s="53"/>
      <c r="E724" s="35"/>
      <c r="F724" s="54"/>
      <c r="G724" s="51"/>
      <c r="H724" s="6"/>
      <c r="J724" s="8"/>
      <c r="M724" s="55"/>
    </row>
    <row r="725" spans="1:13" ht="15.75" customHeight="1">
      <c r="A725" s="51"/>
      <c r="B725" s="51"/>
      <c r="C725" s="52"/>
      <c r="D725" s="53"/>
      <c r="E725" s="35"/>
      <c r="F725" s="54"/>
      <c r="G725" s="51"/>
      <c r="H725" s="6"/>
      <c r="J725" s="8"/>
      <c r="M725" s="55"/>
    </row>
    <row r="726" spans="1:13" ht="15.75" customHeight="1">
      <c r="A726" s="51"/>
      <c r="B726" s="51"/>
      <c r="C726" s="52"/>
      <c r="D726" s="53"/>
      <c r="E726" s="35"/>
      <c r="F726" s="54"/>
      <c r="G726" s="51"/>
      <c r="H726" s="6"/>
      <c r="J726" s="8"/>
      <c r="M726" s="55"/>
    </row>
    <row r="727" spans="1:13" ht="15.75" customHeight="1">
      <c r="A727" s="51"/>
      <c r="B727" s="51"/>
      <c r="C727" s="52"/>
      <c r="D727" s="53"/>
      <c r="E727" s="35"/>
      <c r="F727" s="54"/>
      <c r="G727" s="51"/>
      <c r="H727" s="6"/>
      <c r="J727" s="8"/>
      <c r="M727" s="55"/>
    </row>
    <row r="728" spans="1:13" ht="15.75" customHeight="1">
      <c r="A728" s="51"/>
      <c r="B728" s="51"/>
      <c r="C728" s="52"/>
      <c r="D728" s="53"/>
      <c r="E728" s="35"/>
      <c r="F728" s="54"/>
      <c r="G728" s="51"/>
      <c r="H728" s="6"/>
      <c r="J728" s="8"/>
      <c r="M728" s="55"/>
    </row>
    <row r="729" spans="1:13" ht="15.75" customHeight="1">
      <c r="A729" s="51"/>
      <c r="B729" s="51"/>
      <c r="C729" s="52"/>
      <c r="D729" s="53"/>
      <c r="E729" s="35"/>
      <c r="F729" s="54"/>
      <c r="G729" s="51"/>
      <c r="H729" s="6"/>
      <c r="J729" s="8"/>
      <c r="M729" s="55"/>
    </row>
    <row r="730" spans="1:13" ht="15.75" customHeight="1">
      <c r="A730" s="51"/>
      <c r="B730" s="51"/>
      <c r="C730" s="52"/>
      <c r="D730" s="53"/>
      <c r="E730" s="35"/>
      <c r="F730" s="54"/>
      <c r="G730" s="51"/>
      <c r="H730" s="6"/>
      <c r="J730" s="8"/>
      <c r="M730" s="55"/>
    </row>
    <row r="731" spans="1:13" ht="15.75" customHeight="1">
      <c r="A731" s="51"/>
      <c r="B731" s="51"/>
      <c r="C731" s="52"/>
      <c r="D731" s="53"/>
      <c r="E731" s="35"/>
      <c r="F731" s="54"/>
      <c r="G731" s="51"/>
      <c r="H731" s="6"/>
      <c r="J731" s="8"/>
      <c r="M731" s="55"/>
    </row>
    <row r="732" spans="1:13" ht="15.75" customHeight="1">
      <c r="A732" s="51"/>
      <c r="B732" s="51"/>
      <c r="C732" s="52"/>
      <c r="D732" s="53"/>
      <c r="E732" s="35"/>
      <c r="F732" s="54"/>
      <c r="G732" s="51"/>
      <c r="H732" s="6"/>
      <c r="J732" s="8"/>
      <c r="M732" s="55"/>
    </row>
    <row r="733" spans="1:13" ht="15.75" customHeight="1">
      <c r="A733" s="51"/>
      <c r="B733" s="51"/>
      <c r="C733" s="52"/>
      <c r="D733" s="53"/>
      <c r="E733" s="35"/>
      <c r="F733" s="54"/>
      <c r="G733" s="51"/>
      <c r="H733" s="6"/>
      <c r="J733" s="8"/>
      <c r="M733" s="55"/>
    </row>
    <row r="734" spans="1:13" ht="15.75" customHeight="1">
      <c r="A734" s="51"/>
      <c r="B734" s="51"/>
      <c r="C734" s="52"/>
      <c r="D734" s="53"/>
      <c r="E734" s="35"/>
      <c r="F734" s="54"/>
      <c r="G734" s="51"/>
      <c r="H734" s="6"/>
      <c r="J734" s="8"/>
      <c r="M734" s="55"/>
    </row>
    <row r="735" spans="1:13" ht="15.75" customHeight="1">
      <c r="A735" s="51"/>
      <c r="B735" s="51"/>
      <c r="C735" s="52"/>
      <c r="D735" s="53"/>
      <c r="E735" s="35"/>
      <c r="F735" s="54"/>
      <c r="G735" s="51"/>
      <c r="H735" s="6"/>
      <c r="J735" s="8"/>
      <c r="M735" s="55"/>
    </row>
    <row r="736" spans="1:13" ht="15.75" customHeight="1">
      <c r="A736" s="51"/>
      <c r="B736" s="51"/>
      <c r="C736" s="52"/>
      <c r="D736" s="53"/>
      <c r="E736" s="35"/>
      <c r="F736" s="54"/>
      <c r="G736" s="51"/>
      <c r="H736" s="6"/>
      <c r="J736" s="8"/>
      <c r="M736" s="55"/>
    </row>
    <row r="737" spans="1:13" ht="15.75" customHeight="1">
      <c r="A737" s="51"/>
      <c r="B737" s="51"/>
      <c r="C737" s="52"/>
      <c r="D737" s="53"/>
      <c r="E737" s="35"/>
      <c r="F737" s="54"/>
      <c r="G737" s="51"/>
      <c r="H737" s="6"/>
      <c r="J737" s="8"/>
      <c r="M737" s="55"/>
    </row>
    <row r="738" spans="1:13" ht="15.75" customHeight="1">
      <c r="A738" s="51"/>
      <c r="B738" s="51"/>
      <c r="C738" s="52"/>
      <c r="D738" s="53"/>
      <c r="E738" s="35"/>
      <c r="F738" s="54"/>
      <c r="G738" s="51"/>
      <c r="H738" s="6"/>
      <c r="J738" s="8"/>
      <c r="M738" s="55"/>
    </row>
    <row r="739" spans="1:13" ht="15.75" customHeight="1">
      <c r="A739" s="51"/>
      <c r="B739" s="51"/>
      <c r="C739" s="52"/>
      <c r="D739" s="53"/>
      <c r="E739" s="35"/>
      <c r="F739" s="54"/>
      <c r="G739" s="51"/>
      <c r="H739" s="6"/>
      <c r="J739" s="8"/>
      <c r="M739" s="55"/>
    </row>
    <row r="740" spans="1:13" ht="15.75" customHeight="1">
      <c r="A740" s="51"/>
      <c r="B740" s="51"/>
      <c r="C740" s="52"/>
      <c r="D740" s="53"/>
      <c r="E740" s="35"/>
      <c r="F740" s="54"/>
      <c r="G740" s="51"/>
      <c r="H740" s="6"/>
      <c r="J740" s="8"/>
      <c r="M740" s="55"/>
    </row>
    <row r="741" spans="1:13" ht="15.75" customHeight="1">
      <c r="A741" s="51"/>
      <c r="B741" s="51"/>
      <c r="C741" s="52"/>
      <c r="D741" s="53"/>
      <c r="E741" s="35"/>
      <c r="F741" s="54"/>
      <c r="G741" s="51"/>
      <c r="H741" s="6"/>
      <c r="J741" s="8"/>
      <c r="M741" s="55"/>
    </row>
    <row r="742" spans="1:13" ht="15.75" customHeight="1">
      <c r="A742" s="51"/>
      <c r="B742" s="51"/>
      <c r="C742" s="52"/>
      <c r="D742" s="53"/>
      <c r="E742" s="35"/>
      <c r="F742" s="54"/>
      <c r="G742" s="51"/>
      <c r="H742" s="6"/>
      <c r="J742" s="8"/>
      <c r="M742" s="55"/>
    </row>
    <row r="743" spans="1:13" ht="15.75" customHeight="1">
      <c r="A743" s="51"/>
      <c r="B743" s="51"/>
      <c r="C743" s="52"/>
      <c r="D743" s="53"/>
      <c r="E743" s="35"/>
      <c r="F743" s="54"/>
      <c r="G743" s="51"/>
      <c r="H743" s="6"/>
      <c r="J743" s="8"/>
      <c r="M743" s="55"/>
    </row>
    <row r="744" spans="1:13" ht="15.75" customHeight="1">
      <c r="A744" s="51"/>
      <c r="B744" s="51"/>
      <c r="C744" s="52"/>
      <c r="D744" s="53"/>
      <c r="E744" s="35"/>
      <c r="F744" s="54"/>
      <c r="G744" s="51"/>
      <c r="H744" s="6"/>
      <c r="J744" s="8"/>
      <c r="M744" s="55"/>
    </row>
    <row r="745" spans="1:13" ht="15.75" customHeight="1">
      <c r="A745" s="51"/>
      <c r="B745" s="51"/>
      <c r="C745" s="52"/>
      <c r="D745" s="53"/>
      <c r="E745" s="35"/>
      <c r="F745" s="54"/>
      <c r="G745" s="51"/>
      <c r="H745" s="6"/>
      <c r="J745" s="8"/>
      <c r="M745" s="55"/>
    </row>
  </sheetData>
  <mergeCells count="8">
    <mergeCell ref="O1:P2"/>
    <mergeCell ref="A5:B5"/>
    <mergeCell ref="C5:G5"/>
    <mergeCell ref="A1:B1"/>
    <mergeCell ref="L1:M1"/>
    <mergeCell ref="A2:B2"/>
    <mergeCell ref="A3:B3"/>
    <mergeCell ref="A4:B4"/>
  </mergeCells>
  <conditionalFormatting sqref="L8:L10 L13:L130">
    <cfRule type="cellIs" dxfId="45" priority="25" operator="equal">
      <formula>"Passed"</formula>
    </cfRule>
    <cfRule type="cellIs" dxfId="44" priority="26" operator="equal">
      <formula>"Failed"</formula>
    </cfRule>
    <cfRule type="cellIs" dxfId="43" priority="27" operator="equal">
      <formula>"Not Executed"</formula>
    </cfRule>
    <cfRule type="cellIs" dxfId="42" priority="28" operator="equal">
      <formula>"Out of Scope"</formula>
    </cfRule>
  </conditionalFormatting>
  <conditionalFormatting sqref="L8:L10 L13:L74">
    <cfRule type="cellIs" dxfId="41" priority="16" operator="equal">
      <formula>"Warning"</formula>
    </cfRule>
  </conditionalFormatting>
  <conditionalFormatting sqref="L11">
    <cfRule type="cellIs" dxfId="40" priority="11" operator="equal">
      <formula>"Warning"</formula>
    </cfRule>
  </conditionalFormatting>
  <conditionalFormatting sqref="L11">
    <cfRule type="cellIs" dxfId="39" priority="12" operator="equal">
      <formula>"Passed"</formula>
    </cfRule>
    <cfRule type="cellIs" dxfId="38" priority="13" operator="equal">
      <formula>"Failed"</formula>
    </cfRule>
    <cfRule type="cellIs" dxfId="37" priority="14" operator="equal">
      <formula>"Not Executed"</formula>
    </cfRule>
    <cfRule type="cellIs" dxfId="36" priority="15" operator="equal">
      <formula>"Out of Scope"</formula>
    </cfRule>
  </conditionalFormatting>
  <conditionalFormatting sqref="L69">
    <cfRule type="cellIs" dxfId="35" priority="1" operator="equal">
      <formula>"Warning"</formula>
    </cfRule>
  </conditionalFormatting>
  <conditionalFormatting sqref="L12">
    <cfRule type="cellIs" dxfId="34" priority="7" operator="equal">
      <formula>"Passed"</formula>
    </cfRule>
    <cfRule type="cellIs" dxfId="33" priority="8" operator="equal">
      <formula>"Failed"</formula>
    </cfRule>
    <cfRule type="cellIs" dxfId="32" priority="9" operator="equal">
      <formula>"Not Executed"</formula>
    </cfRule>
    <cfRule type="cellIs" dxfId="31" priority="10" operator="equal">
      <formula>"Out of Scope"</formula>
    </cfRule>
  </conditionalFormatting>
  <conditionalFormatting sqref="L12">
    <cfRule type="cellIs" dxfId="30" priority="6" operator="equal">
      <formula>"Warning"</formula>
    </cfRule>
  </conditionalFormatting>
  <conditionalFormatting sqref="L69">
    <cfRule type="cellIs" dxfId="29" priority="2" operator="equal">
      <formula>"Passed"</formula>
    </cfRule>
    <cfRule type="cellIs" dxfId="28" priority="3" operator="equal">
      <formula>"Failed"</formula>
    </cfRule>
    <cfRule type="cellIs" dxfId="27" priority="4" operator="equal">
      <formula>"Not Executed"</formula>
    </cfRule>
    <cfRule type="cellIs" dxfId="26" priority="5" operator="equal">
      <formula>"Out of Scope"</formula>
    </cfRule>
  </conditionalFormatting>
  <dataValidations count="2">
    <dataValidation type="list" allowBlank="1" sqref="L75:L78 L98:L130" xr:uid="{00000000-0002-0000-0300-000000000000}">
      <formula1>"Passed,Failed,Not Executed,Out of Scope"</formula1>
    </dataValidation>
    <dataValidation type="list" allowBlank="1" sqref="L8:L74" xr:uid="{8FCD4F5B-CFDF-4C45-B6CC-D38913D6D8C5}">
      <formula1>"Passed,Failed,Warning,Out of Scope"</formula1>
    </dataValidation>
  </dataValidations>
  <hyperlinks>
    <hyperlink ref="C1" r:id="rId1" xr:uid="{00000000-0004-0000-0300-000000000000}"/>
    <hyperlink ref="J22" r:id="rId2" xr:uid="{BFFA52DB-C003-4B0A-BB0C-C4CD81CE6ED2}"/>
    <hyperlink ref="J50" r:id="rId3" xr:uid="{9317B5AB-95CF-450A-8D8C-6D8BB7905E4F}"/>
  </hyperlinks>
  <pageMargins left="0.7" right="0.7" top="0.75" bottom="0.75" header="0" footer="0"/>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topLeftCell="H2" zoomScale="54" zoomScaleNormal="70" workbookViewId="0">
      <selection activeCell="P8" sqref="P8"/>
    </sheetView>
  </sheetViews>
  <sheetFormatPr defaultColWidth="14.3984375" defaultRowHeight="15" customHeight="1"/>
  <cols>
    <col min="1" max="1" width="14.19921875" customWidth="1"/>
    <col min="2" max="2" width="29.19921875" customWidth="1"/>
    <col min="3" max="3" width="39.796875" customWidth="1"/>
    <col min="4" max="11" width="14.19921875" customWidth="1"/>
    <col min="12" max="12" width="40.796875" customWidth="1"/>
    <col min="13" max="13" width="28.19921875" customWidth="1"/>
    <col min="14" max="14" width="24.19921875" customWidth="1"/>
    <col min="15" max="15" width="30.796875" customWidth="1"/>
    <col min="16" max="16" width="25" customWidth="1"/>
    <col min="17" max="18" width="14.19921875" customWidth="1"/>
    <col min="19" max="26" width="12.796875" customWidth="1"/>
  </cols>
  <sheetData>
    <row r="1" spans="1:26" ht="15.75" customHeight="1"/>
    <row r="2" spans="1:26" ht="15.75" customHeight="1"/>
    <row r="3" spans="1:26" ht="8.25" customHeight="1"/>
    <row r="4" spans="1:26" ht="25.5" customHeight="1" thickBot="1">
      <c r="B4" s="243" t="s">
        <v>50</v>
      </c>
      <c r="C4" s="229"/>
      <c r="D4" s="229"/>
      <c r="E4" s="229"/>
      <c r="F4" s="229"/>
      <c r="G4" s="230"/>
      <c r="J4" s="56" t="s">
        <v>89</v>
      </c>
      <c r="K4" s="57"/>
    </row>
    <row r="5" spans="1:26" s="126" customFormat="1" ht="23.5" customHeight="1" thickBot="1">
      <c r="B5" s="133" t="s">
        <v>51</v>
      </c>
      <c r="C5" s="244" t="s">
        <v>278</v>
      </c>
      <c r="D5" s="245"/>
      <c r="E5" s="245"/>
      <c r="F5" s="245"/>
      <c r="G5" s="246"/>
    </row>
    <row r="6" spans="1:26" s="126" customFormat="1" ht="23.5" customHeight="1" thickBot="1">
      <c r="B6" s="132" t="s">
        <v>52</v>
      </c>
      <c r="C6" s="244"/>
      <c r="D6" s="245"/>
      <c r="E6" s="245"/>
      <c r="F6" s="245"/>
      <c r="G6" s="246"/>
      <c r="I6" s="236" t="s">
        <v>59</v>
      </c>
      <c r="J6" s="237"/>
    </row>
    <row r="7" spans="1:26" ht="26" customHeight="1" thickBot="1">
      <c r="A7" s="58"/>
      <c r="B7" s="132" t="s">
        <v>53</v>
      </c>
      <c r="C7" s="240" t="s">
        <v>387</v>
      </c>
      <c r="D7" s="241"/>
      <c r="E7" s="241"/>
      <c r="F7" s="241"/>
      <c r="G7" s="242"/>
      <c r="I7" s="238"/>
      <c r="J7" s="239"/>
      <c r="L7" s="59"/>
    </row>
    <row r="8" spans="1:26" s="126" customFormat="1" ht="25" customHeight="1" thickBot="1">
      <c r="B8" s="133" t="s">
        <v>54</v>
      </c>
      <c r="C8" s="244"/>
      <c r="D8" s="245"/>
      <c r="E8" s="245"/>
      <c r="F8" s="245"/>
      <c r="G8" s="246"/>
      <c r="I8" s="146">
        <f>C16</f>
        <v>49</v>
      </c>
      <c r="J8" s="149" t="s">
        <v>9</v>
      </c>
      <c r="K8" s="141"/>
      <c r="L8" s="145"/>
      <c r="M8" s="142"/>
      <c r="N8" s="142"/>
      <c r="O8" s="142"/>
      <c r="P8" s="142"/>
      <c r="Q8" s="142"/>
    </row>
    <row r="9" spans="1:26" s="126" customFormat="1" ht="25" customHeight="1" thickBot="1">
      <c r="B9" s="133" t="s">
        <v>55</v>
      </c>
      <c r="C9" s="244" t="s">
        <v>279</v>
      </c>
      <c r="D9" s="245"/>
      <c r="E9" s="245"/>
      <c r="F9" s="245"/>
      <c r="G9" s="246"/>
      <c r="I9" s="147">
        <f>D16</f>
        <v>13</v>
      </c>
      <c r="J9" s="150" t="s">
        <v>14</v>
      </c>
      <c r="K9" s="141"/>
      <c r="L9" s="143"/>
      <c r="M9" s="142"/>
      <c r="N9" s="142"/>
      <c r="O9" s="142"/>
      <c r="P9" s="142"/>
      <c r="Q9" s="142"/>
    </row>
    <row r="10" spans="1:26" s="126" customFormat="1" ht="25" customHeight="1" thickBot="1">
      <c r="B10" s="133" t="s">
        <v>56</v>
      </c>
      <c r="C10" s="244" t="s">
        <v>279</v>
      </c>
      <c r="D10" s="245"/>
      <c r="E10" s="245"/>
      <c r="F10" s="245"/>
      <c r="G10" s="246"/>
      <c r="I10" s="139">
        <f>E16</f>
        <v>1</v>
      </c>
      <c r="J10" s="148" t="s">
        <v>198</v>
      </c>
      <c r="L10" s="144"/>
      <c r="M10" s="144"/>
      <c r="N10" s="144"/>
      <c r="O10" s="141"/>
      <c r="P10" s="144"/>
      <c r="Q10" s="142"/>
    </row>
    <row r="11" spans="1:26" s="126" customFormat="1" ht="25" customHeight="1" thickBot="1">
      <c r="B11" s="133" t="s">
        <v>57</v>
      </c>
      <c r="C11" s="244" t="s">
        <v>86</v>
      </c>
      <c r="D11" s="245"/>
      <c r="E11" s="245"/>
      <c r="F11" s="245"/>
      <c r="G11" s="246"/>
      <c r="I11" s="140">
        <f>F16</f>
        <v>0</v>
      </c>
      <c r="J11" s="134" t="s">
        <v>277</v>
      </c>
      <c r="L11" s="141"/>
      <c r="M11" s="141"/>
      <c r="N11" s="141"/>
      <c r="O11" s="141"/>
      <c r="P11" s="141"/>
      <c r="Q11" s="142"/>
    </row>
    <row r="12" spans="1:26" s="126" customFormat="1" ht="25" customHeight="1" thickBot="1">
      <c r="B12" s="256" t="s">
        <v>58</v>
      </c>
      <c r="C12" s="257"/>
      <c r="D12" s="257"/>
      <c r="E12" s="257"/>
      <c r="F12" s="257"/>
      <c r="G12" s="258"/>
      <c r="I12" s="138">
        <f>G16</f>
        <v>63</v>
      </c>
      <c r="J12" s="137" t="s">
        <v>382</v>
      </c>
      <c r="L12" s="142"/>
      <c r="M12" s="142"/>
      <c r="N12" s="142"/>
      <c r="O12" s="142"/>
      <c r="P12" s="142"/>
      <c r="Q12" s="142"/>
    </row>
    <row r="13" spans="1:26" ht="15.75" customHeight="1" thickBot="1">
      <c r="B13" s="253"/>
      <c r="C13" s="254"/>
      <c r="D13" s="254"/>
      <c r="E13" s="254"/>
      <c r="F13" s="254"/>
      <c r="G13" s="255"/>
    </row>
    <row r="14" spans="1:26" ht="15.75" customHeight="1">
      <c r="B14" s="60" t="s">
        <v>59</v>
      </c>
      <c r="C14" s="61" t="s">
        <v>9</v>
      </c>
      <c r="D14" s="61" t="s">
        <v>14</v>
      </c>
      <c r="E14" s="61" t="s">
        <v>198</v>
      </c>
      <c r="F14" s="61" t="s">
        <v>277</v>
      </c>
      <c r="G14" s="62" t="s">
        <v>60</v>
      </c>
      <c r="L14" s="63"/>
      <c r="M14" s="63"/>
      <c r="N14" s="63"/>
      <c r="O14" s="63"/>
      <c r="P14" s="63"/>
      <c r="R14" s="63"/>
    </row>
    <row r="15" spans="1:26" ht="48" customHeight="1">
      <c r="A15" s="64"/>
      <c r="B15" s="65"/>
      <c r="C15" s="66">
        <f>TestCase!M2</f>
        <v>49</v>
      </c>
      <c r="D15" s="67">
        <f>TestCase!M3</f>
        <v>13</v>
      </c>
      <c r="E15" s="135">
        <f>TestCase!M4</f>
        <v>1</v>
      </c>
      <c r="F15" s="136">
        <f>TestCase!M5</f>
        <v>0</v>
      </c>
      <c r="G15" s="68">
        <f>TestCase!M6</f>
        <v>63</v>
      </c>
      <c r="H15" s="64"/>
      <c r="I15" s="64"/>
      <c r="J15" s="64"/>
      <c r="K15" s="64"/>
      <c r="L15" s="69"/>
      <c r="M15" s="64"/>
      <c r="N15" s="64"/>
      <c r="O15" s="64"/>
      <c r="P15" s="64"/>
      <c r="Q15" s="64"/>
      <c r="R15" s="64"/>
      <c r="S15" s="64"/>
      <c r="T15" s="64"/>
      <c r="U15" s="64"/>
      <c r="V15" s="64"/>
      <c r="W15" s="64"/>
      <c r="X15" s="64"/>
      <c r="Y15" s="64"/>
      <c r="Z15" s="64"/>
    </row>
    <row r="16" spans="1:26" ht="24" customHeight="1" thickBot="1">
      <c r="B16" s="70" t="s">
        <v>61</v>
      </c>
      <c r="C16" s="71">
        <f>SUM(C15)</f>
        <v>49</v>
      </c>
      <c r="D16" s="72">
        <f t="shared" ref="D16:G16" si="0">SUM(D15)</f>
        <v>13</v>
      </c>
      <c r="E16" s="71">
        <f t="shared" si="0"/>
        <v>1</v>
      </c>
      <c r="F16" s="71">
        <f t="shared" si="0"/>
        <v>0</v>
      </c>
      <c r="G16" s="73">
        <f t="shared" si="0"/>
        <v>63</v>
      </c>
      <c r="J16" s="221"/>
      <c r="K16" s="234" t="s">
        <v>388</v>
      </c>
      <c r="L16" s="234"/>
      <c r="M16" s="234"/>
      <c r="N16" s="142"/>
      <c r="O16" s="74"/>
      <c r="P16" s="74"/>
      <c r="Q16" s="74"/>
      <c r="R16" s="74"/>
    </row>
    <row r="17" spans="2:18" ht="15.75" customHeight="1">
      <c r="B17" s="75"/>
      <c r="C17" s="75"/>
      <c r="D17" s="75"/>
      <c r="E17" s="75"/>
      <c r="F17" s="75"/>
      <c r="G17" s="75"/>
      <c r="I17" s="219"/>
      <c r="J17" s="219"/>
      <c r="K17" s="235" t="s">
        <v>389</v>
      </c>
      <c r="L17" s="235"/>
      <c r="M17" s="235"/>
      <c r="N17" s="220"/>
      <c r="O17" s="74"/>
      <c r="P17" s="74"/>
      <c r="Q17" s="74"/>
      <c r="R17" s="74"/>
    </row>
    <row r="18" spans="2:18" ht="15.75" customHeight="1" thickBot="1">
      <c r="B18" s="75"/>
      <c r="C18" s="75"/>
      <c r="D18" s="75"/>
      <c r="E18" s="75"/>
      <c r="F18" s="75"/>
      <c r="G18" s="75"/>
      <c r="I18" s="219"/>
      <c r="J18" s="219"/>
      <c r="K18" s="235"/>
      <c r="L18" s="235"/>
      <c r="M18" s="235"/>
      <c r="N18" s="220"/>
      <c r="O18" s="63"/>
      <c r="P18" s="63"/>
      <c r="Q18" s="63"/>
      <c r="R18" s="63"/>
    </row>
    <row r="19" spans="2:18" ht="15.75" customHeight="1" thickBot="1">
      <c r="B19" s="259" t="s">
        <v>62</v>
      </c>
      <c r="C19" s="229"/>
      <c r="D19" s="229"/>
      <c r="E19" s="229"/>
      <c r="F19" s="229"/>
      <c r="G19" s="230"/>
      <c r="I19" s="219"/>
      <c r="J19" s="219"/>
      <c r="K19" s="235"/>
      <c r="L19" s="235"/>
      <c r="M19" s="235"/>
      <c r="N19" s="220"/>
    </row>
    <row r="20" spans="2:18" ht="15.75" customHeight="1" thickBot="1">
      <c r="B20" s="260" t="s">
        <v>63</v>
      </c>
      <c r="C20" s="229"/>
      <c r="D20" s="230"/>
      <c r="E20" s="76"/>
      <c r="F20" s="76" t="s">
        <v>64</v>
      </c>
      <c r="G20" s="76" t="s">
        <v>65</v>
      </c>
      <c r="I20" s="219"/>
      <c r="J20" s="219"/>
      <c r="K20" s="235"/>
      <c r="L20" s="235"/>
      <c r="M20" s="235"/>
      <c r="N20" s="220"/>
    </row>
    <row r="21" spans="2:18" ht="15.75" customHeight="1" thickBot="1">
      <c r="B21" s="261" t="s">
        <v>66</v>
      </c>
      <c r="C21" s="229"/>
      <c r="D21" s="230"/>
      <c r="E21" s="77"/>
      <c r="F21" s="77" t="s">
        <v>67</v>
      </c>
      <c r="G21" s="77" t="s">
        <v>67</v>
      </c>
      <c r="I21" s="219"/>
      <c r="J21" s="219"/>
      <c r="K21" s="235"/>
      <c r="L21" s="235"/>
      <c r="M21" s="235"/>
      <c r="N21" s="220"/>
    </row>
    <row r="22" spans="2:18" ht="15.75" customHeight="1" thickBot="1">
      <c r="B22" s="261" t="s">
        <v>68</v>
      </c>
      <c r="C22" s="229"/>
      <c r="D22" s="230"/>
      <c r="E22" s="77"/>
      <c r="F22" s="77" t="s">
        <v>67</v>
      </c>
      <c r="G22" s="77" t="s">
        <v>67</v>
      </c>
      <c r="I22" s="219"/>
      <c r="J22" s="219"/>
      <c r="K22" s="235"/>
      <c r="L22" s="235"/>
      <c r="M22" s="235"/>
      <c r="N22" s="220"/>
    </row>
    <row r="23" spans="2:18" ht="15.75" customHeight="1" thickBot="1">
      <c r="I23" s="219"/>
      <c r="J23" s="219"/>
      <c r="K23" s="235"/>
      <c r="L23" s="235"/>
      <c r="M23" s="235"/>
      <c r="N23" s="220"/>
    </row>
    <row r="24" spans="2:18" ht="15.75" customHeight="1">
      <c r="B24" s="266"/>
      <c r="C24" s="262" t="s">
        <v>69</v>
      </c>
      <c r="D24" s="265" t="s">
        <v>70</v>
      </c>
      <c r="E24" s="248"/>
      <c r="F24" s="248"/>
      <c r="G24" s="249"/>
      <c r="I24" s="219"/>
      <c r="J24" s="219"/>
      <c r="K24" s="235"/>
      <c r="L24" s="235"/>
      <c r="M24" s="235"/>
      <c r="N24" s="220"/>
    </row>
    <row r="25" spans="2:18" ht="15.75" customHeight="1">
      <c r="B25" s="263"/>
      <c r="C25" s="263"/>
      <c r="D25" s="250"/>
      <c r="E25" s="251"/>
      <c r="F25" s="251"/>
      <c r="G25" s="252"/>
      <c r="I25" s="219"/>
      <c r="J25" s="219"/>
      <c r="K25" s="235"/>
      <c r="L25" s="235"/>
      <c r="M25" s="235"/>
      <c r="N25" s="220"/>
    </row>
    <row r="26" spans="2:18" ht="15.75" customHeight="1">
      <c r="B26" s="263"/>
      <c r="C26" s="263"/>
      <c r="D26" s="250"/>
      <c r="E26" s="251"/>
      <c r="F26" s="251"/>
      <c r="G26" s="252"/>
      <c r="I26" s="219"/>
      <c r="J26" s="219"/>
      <c r="K26" s="235"/>
      <c r="L26" s="235"/>
      <c r="M26" s="235"/>
      <c r="N26" s="220"/>
    </row>
    <row r="27" spans="2:18" ht="15.75" customHeight="1" thickBot="1">
      <c r="B27" s="264"/>
      <c r="C27" s="264"/>
      <c r="D27" s="253"/>
      <c r="E27" s="254"/>
      <c r="F27" s="254"/>
      <c r="G27" s="255"/>
      <c r="I27" s="219"/>
      <c r="J27" s="219"/>
      <c r="K27" s="235"/>
      <c r="L27" s="235"/>
      <c r="M27" s="235"/>
      <c r="N27" s="220"/>
    </row>
    <row r="28" spans="2:18" ht="15.75" customHeight="1">
      <c r="B28" s="267" t="s">
        <v>71</v>
      </c>
      <c r="C28" s="268" t="s">
        <v>72</v>
      </c>
      <c r="D28" s="247" t="s">
        <v>73</v>
      </c>
      <c r="E28" s="248"/>
      <c r="F28" s="248"/>
      <c r="G28" s="249"/>
      <c r="H28" s="126"/>
      <c r="I28" s="217"/>
      <c r="J28" s="217"/>
      <c r="K28" s="235"/>
      <c r="L28" s="235"/>
      <c r="M28" s="235"/>
      <c r="N28" s="218"/>
    </row>
    <row r="29" spans="2:18" ht="15.75" customHeight="1">
      <c r="B29" s="263"/>
      <c r="C29" s="263"/>
      <c r="D29" s="250"/>
      <c r="E29" s="251"/>
      <c r="F29" s="251"/>
      <c r="G29" s="252"/>
      <c r="I29" s="217"/>
      <c r="J29" s="217"/>
      <c r="K29" s="217"/>
      <c r="L29" s="217"/>
      <c r="M29" s="217"/>
      <c r="N29" s="218"/>
    </row>
    <row r="30" spans="2:18" ht="15.75" customHeight="1">
      <c r="B30" s="263"/>
      <c r="C30" s="263"/>
      <c r="D30" s="250"/>
      <c r="E30" s="251"/>
      <c r="F30" s="251"/>
      <c r="G30" s="252"/>
      <c r="I30" s="217"/>
      <c r="J30" s="217"/>
      <c r="K30" s="217"/>
      <c r="L30" s="217"/>
      <c r="M30" s="217"/>
      <c r="N30" s="218"/>
    </row>
    <row r="31" spans="2:18" ht="15.75" customHeight="1" thickBot="1">
      <c r="B31" s="264"/>
      <c r="C31" s="264"/>
      <c r="D31" s="253"/>
      <c r="E31" s="254"/>
      <c r="F31" s="254"/>
      <c r="G31" s="255"/>
      <c r="I31" s="217"/>
      <c r="J31" s="217"/>
      <c r="K31" s="217"/>
      <c r="L31" s="217"/>
      <c r="M31" s="217"/>
      <c r="N31" s="218"/>
    </row>
    <row r="32" spans="2:18" ht="15.75" customHeight="1">
      <c r="B32" s="267" t="s">
        <v>71</v>
      </c>
      <c r="C32" s="268" t="s">
        <v>74</v>
      </c>
      <c r="D32" s="247" t="s">
        <v>75</v>
      </c>
      <c r="E32" s="248"/>
      <c r="F32" s="248"/>
      <c r="G32" s="249"/>
    </row>
    <row r="33" spans="2:7" ht="15.75" customHeight="1">
      <c r="B33" s="263"/>
      <c r="C33" s="263"/>
      <c r="D33" s="250"/>
      <c r="E33" s="251"/>
      <c r="F33" s="251"/>
      <c r="G33" s="252"/>
    </row>
    <row r="34" spans="2:7" ht="15.75" customHeight="1">
      <c r="B34" s="263"/>
      <c r="C34" s="263"/>
      <c r="D34" s="250"/>
      <c r="E34" s="251"/>
      <c r="F34" s="251"/>
      <c r="G34" s="252"/>
    </row>
    <row r="35" spans="2:7" ht="15.75" customHeight="1">
      <c r="B35" s="264"/>
      <c r="C35" s="264"/>
      <c r="D35" s="253"/>
      <c r="E35" s="254"/>
      <c r="F35" s="254"/>
      <c r="G35" s="255"/>
    </row>
    <row r="36" spans="2:7" ht="15.75" customHeight="1">
      <c r="B36" s="267" t="s">
        <v>71</v>
      </c>
      <c r="C36" s="268" t="s">
        <v>76</v>
      </c>
      <c r="D36" s="247" t="s">
        <v>77</v>
      </c>
      <c r="E36" s="248"/>
      <c r="F36" s="248"/>
      <c r="G36" s="249"/>
    </row>
    <row r="37" spans="2:7" ht="15.75" customHeight="1">
      <c r="B37" s="263"/>
      <c r="C37" s="263"/>
      <c r="D37" s="250"/>
      <c r="E37" s="251"/>
      <c r="F37" s="251"/>
      <c r="G37" s="252"/>
    </row>
    <row r="38" spans="2:7" ht="15.75" customHeight="1">
      <c r="B38" s="263"/>
      <c r="C38" s="263"/>
      <c r="D38" s="250"/>
      <c r="E38" s="251"/>
      <c r="F38" s="251"/>
      <c r="G38" s="252"/>
    </row>
    <row r="39" spans="2:7" ht="15.75" customHeight="1">
      <c r="B39" s="264"/>
      <c r="C39" s="264"/>
      <c r="D39" s="253"/>
      <c r="E39" s="254"/>
      <c r="F39" s="254"/>
      <c r="G39" s="255"/>
    </row>
    <row r="40" spans="2:7" ht="15.75" customHeight="1">
      <c r="B40" s="267" t="s">
        <v>71</v>
      </c>
      <c r="C40" s="268" t="s">
        <v>78</v>
      </c>
      <c r="D40" s="247" t="s">
        <v>79</v>
      </c>
      <c r="E40" s="248"/>
      <c r="F40" s="248"/>
      <c r="G40" s="249"/>
    </row>
    <row r="41" spans="2:7" ht="15.75" customHeight="1">
      <c r="B41" s="263"/>
      <c r="C41" s="263"/>
      <c r="D41" s="250"/>
      <c r="E41" s="251"/>
      <c r="F41" s="251"/>
      <c r="G41" s="252"/>
    </row>
    <row r="42" spans="2:7" ht="15.75" customHeight="1">
      <c r="B42" s="263"/>
      <c r="C42" s="263"/>
      <c r="D42" s="250"/>
      <c r="E42" s="251"/>
      <c r="F42" s="251"/>
      <c r="G42" s="252"/>
    </row>
    <row r="43" spans="2:7" ht="15.75" customHeight="1">
      <c r="B43" s="264"/>
      <c r="C43" s="264"/>
      <c r="D43" s="253"/>
      <c r="E43" s="254"/>
      <c r="F43" s="254"/>
      <c r="G43" s="255"/>
    </row>
    <row r="44" spans="2:7" ht="15.75" customHeight="1">
      <c r="B44" s="267" t="s">
        <v>71</v>
      </c>
      <c r="C44" s="269" t="s">
        <v>80</v>
      </c>
      <c r="D44" s="247" t="s">
        <v>81</v>
      </c>
      <c r="E44" s="248"/>
      <c r="F44" s="248"/>
      <c r="G44" s="249"/>
    </row>
    <row r="45" spans="2:7" ht="15.75" customHeight="1">
      <c r="B45" s="263"/>
      <c r="C45" s="263"/>
      <c r="D45" s="250"/>
      <c r="E45" s="251"/>
      <c r="F45" s="251"/>
      <c r="G45" s="252"/>
    </row>
    <row r="46" spans="2:7" ht="15.75" customHeight="1">
      <c r="B46" s="263"/>
      <c r="C46" s="263"/>
      <c r="D46" s="250"/>
      <c r="E46" s="251"/>
      <c r="F46" s="251"/>
      <c r="G46" s="252"/>
    </row>
    <row r="47" spans="2:7" ht="15.75" customHeight="1">
      <c r="B47" s="264"/>
      <c r="C47" s="264"/>
      <c r="D47" s="253"/>
      <c r="E47" s="254"/>
      <c r="F47" s="254"/>
      <c r="G47" s="255"/>
    </row>
    <row r="48" spans="2:7" ht="15.75" customHeight="1">
      <c r="B48" s="267" t="s">
        <v>71</v>
      </c>
      <c r="C48" s="269" t="s">
        <v>82</v>
      </c>
      <c r="D48" s="247" t="s">
        <v>83</v>
      </c>
      <c r="E48" s="248"/>
      <c r="F48" s="248"/>
      <c r="G48" s="249"/>
    </row>
    <row r="49" spans="2:7" ht="15.75" customHeight="1">
      <c r="B49" s="263"/>
      <c r="C49" s="263"/>
      <c r="D49" s="250"/>
      <c r="E49" s="251"/>
      <c r="F49" s="251"/>
      <c r="G49" s="252"/>
    </row>
    <row r="50" spans="2:7" ht="15.75" customHeight="1">
      <c r="B50" s="263"/>
      <c r="C50" s="263"/>
      <c r="D50" s="250"/>
      <c r="E50" s="251"/>
      <c r="F50" s="251"/>
      <c r="G50" s="252"/>
    </row>
    <row r="51" spans="2:7" ht="33.75" customHeight="1">
      <c r="B51" s="264"/>
      <c r="C51" s="264"/>
      <c r="D51" s="253"/>
      <c r="E51" s="254"/>
      <c r="F51" s="254"/>
      <c r="G51" s="255"/>
    </row>
    <row r="52" spans="2:7" ht="15.75" customHeight="1">
      <c r="B52" s="267" t="s">
        <v>71</v>
      </c>
      <c r="C52" s="269" t="s">
        <v>84</v>
      </c>
      <c r="D52" s="247" t="s">
        <v>85</v>
      </c>
      <c r="E52" s="248"/>
      <c r="F52" s="248"/>
      <c r="G52" s="249"/>
    </row>
    <row r="53" spans="2:7" ht="15.75" customHeight="1">
      <c r="B53" s="263"/>
      <c r="C53" s="263"/>
      <c r="D53" s="250"/>
      <c r="E53" s="251"/>
      <c r="F53" s="251"/>
      <c r="G53" s="252"/>
    </row>
    <row r="54" spans="2:7" ht="15.75" customHeight="1">
      <c r="B54" s="263"/>
      <c r="C54" s="263"/>
      <c r="D54" s="250"/>
      <c r="E54" s="251"/>
      <c r="F54" s="251"/>
      <c r="G54" s="252"/>
    </row>
    <row r="55" spans="2:7" ht="39" customHeight="1">
      <c r="B55" s="264"/>
      <c r="C55" s="264"/>
      <c r="D55" s="253"/>
      <c r="E55" s="254"/>
      <c r="F55" s="254"/>
      <c r="G55" s="255"/>
    </row>
    <row r="56" spans="2:7" ht="15.75" customHeight="1"/>
    <row r="57" spans="2:7" ht="15.75" customHeight="1"/>
    <row r="58" spans="2:7" ht="15.75" customHeight="1"/>
    <row r="59" spans="2:7" ht="15.75" customHeight="1"/>
    <row r="60" spans="2:7" ht="15.75" customHeight="1"/>
    <row r="61" spans="2:7" ht="15.75" customHeight="1"/>
    <row r="62" spans="2:7" ht="15.75" customHeight="1"/>
    <row r="63" spans="2:7" ht="15.75" customHeight="1"/>
    <row r="64" spans="2:7"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0">
    <mergeCell ref="D48:G51"/>
    <mergeCell ref="B52:B55"/>
    <mergeCell ref="C52:C55"/>
    <mergeCell ref="D52:G55"/>
    <mergeCell ref="B40:B43"/>
    <mergeCell ref="C40:C43"/>
    <mergeCell ref="D40:G43"/>
    <mergeCell ref="B44:B47"/>
    <mergeCell ref="C44:C47"/>
    <mergeCell ref="D44:G47"/>
    <mergeCell ref="B48:B51"/>
    <mergeCell ref="C48:C51"/>
    <mergeCell ref="D32:G35"/>
    <mergeCell ref="D36:G39"/>
    <mergeCell ref="B12:G13"/>
    <mergeCell ref="B19:G19"/>
    <mergeCell ref="B20:D20"/>
    <mergeCell ref="B21:D21"/>
    <mergeCell ref="B22:D22"/>
    <mergeCell ref="C24:C27"/>
    <mergeCell ref="D24:G27"/>
    <mergeCell ref="B24:B27"/>
    <mergeCell ref="B28:B31"/>
    <mergeCell ref="C28:C31"/>
    <mergeCell ref="B32:B35"/>
    <mergeCell ref="C32:C35"/>
    <mergeCell ref="B36:B39"/>
    <mergeCell ref="C36:C39"/>
    <mergeCell ref="K16:M16"/>
    <mergeCell ref="K17:M28"/>
    <mergeCell ref="I6:J7"/>
    <mergeCell ref="C7:G7"/>
    <mergeCell ref="B4:G4"/>
    <mergeCell ref="C5:G5"/>
    <mergeCell ref="C6:G6"/>
    <mergeCell ref="C8:G8"/>
    <mergeCell ref="C9:G9"/>
    <mergeCell ref="C10:G10"/>
    <mergeCell ref="C11:G11"/>
    <mergeCell ref="D28:G31"/>
  </mergeCells>
  <pageMargins left="0.7" right="0.7" top="0" bottom="0.75" header="0" footer="0"/>
  <pageSetup paperSize="9"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EF85E9-5444-4044-828F-891857E0B9D4}">
  <dimension ref="A1:H16"/>
  <sheetViews>
    <sheetView zoomScale="99" zoomScaleNormal="100" workbookViewId="0">
      <selection activeCell="G3" sqref="G3"/>
    </sheetView>
  </sheetViews>
  <sheetFormatPr defaultRowHeight="14.5"/>
  <cols>
    <col min="1" max="1" width="16.5" style="110" customWidth="1"/>
    <col min="2" max="2" width="32.19921875" customWidth="1"/>
    <col min="3" max="3" width="34.19921875" style="112" customWidth="1"/>
    <col min="4" max="5" width="16.5" customWidth="1"/>
    <col min="6" max="6" width="16.5" style="113" customWidth="1"/>
    <col min="7" max="7" width="19.796875" customWidth="1"/>
    <col min="8" max="8" width="16.5" customWidth="1"/>
  </cols>
  <sheetData>
    <row r="1" spans="1:8" s="105" customFormat="1">
      <c r="A1" s="108" t="s">
        <v>280</v>
      </c>
      <c r="B1" s="104" t="s">
        <v>281</v>
      </c>
      <c r="C1" s="111" t="s">
        <v>282</v>
      </c>
      <c r="D1" s="104" t="s">
        <v>283</v>
      </c>
      <c r="E1" s="104" t="s">
        <v>27</v>
      </c>
      <c r="F1" s="104" t="s">
        <v>284</v>
      </c>
      <c r="G1" s="104" t="s">
        <v>285</v>
      </c>
      <c r="H1" s="104" t="s">
        <v>286</v>
      </c>
    </row>
    <row r="2" spans="1:8" s="106" customFormat="1" ht="73" customHeight="1">
      <c r="A2" s="109" t="s">
        <v>290</v>
      </c>
      <c r="B2" s="107" t="s">
        <v>287</v>
      </c>
      <c r="C2" s="107" t="s">
        <v>302</v>
      </c>
      <c r="D2" s="107" t="s">
        <v>113</v>
      </c>
      <c r="E2" s="107" t="s">
        <v>114</v>
      </c>
      <c r="F2" s="114" t="s">
        <v>321</v>
      </c>
      <c r="G2" s="114"/>
    </row>
    <row r="3" spans="1:8" s="106" customFormat="1" ht="63" customHeight="1">
      <c r="A3" s="109" t="s">
        <v>292</v>
      </c>
      <c r="B3" s="107" t="s">
        <v>288</v>
      </c>
      <c r="C3" s="106" t="s">
        <v>289</v>
      </c>
      <c r="D3" s="106" t="s">
        <v>117</v>
      </c>
      <c r="E3" s="106" t="s">
        <v>118</v>
      </c>
      <c r="F3" s="115" t="s">
        <v>321</v>
      </c>
    </row>
    <row r="4" spans="1:8" s="106" customFormat="1" ht="63" customHeight="1">
      <c r="A4" s="109" t="s">
        <v>291</v>
      </c>
      <c r="B4" s="107" t="s">
        <v>309</v>
      </c>
      <c r="C4" s="107" t="s">
        <v>301</v>
      </c>
      <c r="D4" s="106" t="s">
        <v>122</v>
      </c>
      <c r="E4" s="106" t="s">
        <v>123</v>
      </c>
      <c r="F4" s="115" t="s">
        <v>320</v>
      </c>
    </row>
    <row r="5" spans="1:8" s="106" customFormat="1" ht="63" customHeight="1">
      <c r="A5" s="109" t="s">
        <v>293</v>
      </c>
      <c r="B5" s="107" t="s">
        <v>308</v>
      </c>
      <c r="C5" s="107" t="s">
        <v>303</v>
      </c>
      <c r="D5" s="106" t="s">
        <v>135</v>
      </c>
      <c r="E5" s="106" t="s">
        <v>132</v>
      </c>
      <c r="F5" s="115" t="s">
        <v>320</v>
      </c>
    </row>
    <row r="6" spans="1:8" s="106" customFormat="1" ht="63" customHeight="1">
      <c r="A6" s="109" t="s">
        <v>294</v>
      </c>
      <c r="B6" s="107" t="s">
        <v>307</v>
      </c>
      <c r="C6" s="107" t="s">
        <v>303</v>
      </c>
      <c r="D6" s="106" t="s">
        <v>135</v>
      </c>
      <c r="E6" s="106" t="s">
        <v>132</v>
      </c>
      <c r="F6" s="115" t="s">
        <v>320</v>
      </c>
    </row>
    <row r="7" spans="1:8" s="106" customFormat="1" ht="63" customHeight="1">
      <c r="A7" s="109" t="s">
        <v>295</v>
      </c>
      <c r="B7" s="107" t="s">
        <v>306</v>
      </c>
      <c r="C7" s="107" t="s">
        <v>314</v>
      </c>
      <c r="D7" s="107" t="s">
        <v>136</v>
      </c>
      <c r="E7" s="106" t="s">
        <v>137</v>
      </c>
      <c r="F7" s="115" t="s">
        <v>320</v>
      </c>
    </row>
    <row r="8" spans="1:8" s="106" customFormat="1" ht="63" customHeight="1">
      <c r="A8" s="109" t="s">
        <v>296</v>
      </c>
      <c r="B8" s="107" t="s">
        <v>304</v>
      </c>
      <c r="C8" s="107" t="s">
        <v>313</v>
      </c>
      <c r="D8" s="106" t="s">
        <v>156</v>
      </c>
      <c r="E8" s="106" t="s">
        <v>157</v>
      </c>
      <c r="F8" s="115" t="s">
        <v>322</v>
      </c>
    </row>
    <row r="9" spans="1:8" s="106" customFormat="1" ht="63" customHeight="1">
      <c r="A9" s="109" t="s">
        <v>297</v>
      </c>
      <c r="B9" s="107" t="s">
        <v>305</v>
      </c>
      <c r="C9" s="107" t="s">
        <v>312</v>
      </c>
      <c r="D9" s="106" t="s">
        <v>165</v>
      </c>
      <c r="E9" s="106" t="s">
        <v>166</v>
      </c>
      <c r="F9" s="115" t="s">
        <v>322</v>
      </c>
    </row>
    <row r="10" spans="1:8" s="106" customFormat="1" ht="63" customHeight="1" thickBot="1">
      <c r="A10" s="109" t="s">
        <v>298</v>
      </c>
      <c r="B10" s="107" t="s">
        <v>310</v>
      </c>
      <c r="C10" s="107" t="s">
        <v>311</v>
      </c>
      <c r="D10" s="106" t="s">
        <v>144</v>
      </c>
      <c r="E10" s="106" t="s">
        <v>144</v>
      </c>
      <c r="F10" s="115" t="s">
        <v>320</v>
      </c>
    </row>
    <row r="11" spans="1:8" ht="59.5" customHeight="1" thickBot="1">
      <c r="A11" s="109" t="s">
        <v>299</v>
      </c>
      <c r="B11" s="107" t="s">
        <v>315</v>
      </c>
      <c r="C11" s="107" t="s">
        <v>316</v>
      </c>
      <c r="D11" s="106" t="s">
        <v>196</v>
      </c>
      <c r="E11" s="106" t="s">
        <v>197</v>
      </c>
      <c r="F11" s="116" t="s">
        <v>320</v>
      </c>
      <c r="H11" s="83" t="s">
        <v>199</v>
      </c>
    </row>
    <row r="12" spans="1:8" ht="59.5" customHeight="1">
      <c r="A12" s="109" t="s">
        <v>300</v>
      </c>
      <c r="B12" s="107" t="s">
        <v>317</v>
      </c>
      <c r="C12" s="107" t="s">
        <v>318</v>
      </c>
      <c r="D12" s="107" t="s">
        <v>211</v>
      </c>
      <c r="E12" s="107" t="s">
        <v>212</v>
      </c>
      <c r="F12" s="116" t="s">
        <v>319</v>
      </c>
      <c r="H12" s="131" t="s">
        <v>276</v>
      </c>
    </row>
    <row r="13" spans="1:8" ht="59.5" customHeight="1">
      <c r="A13" s="109" t="s">
        <v>376</v>
      </c>
      <c r="B13" s="107" t="s">
        <v>377</v>
      </c>
      <c r="C13" s="107" t="s">
        <v>378</v>
      </c>
      <c r="D13" s="107" t="s">
        <v>379</v>
      </c>
      <c r="E13" s="107" t="s">
        <v>380</v>
      </c>
      <c r="F13" s="128" t="s">
        <v>320</v>
      </c>
      <c r="G13" s="129"/>
      <c r="H13" s="130" t="s">
        <v>375</v>
      </c>
    </row>
    <row r="14" spans="1:8" s="126" customFormat="1" ht="66.5" customHeight="1">
      <c r="A14" s="121"/>
      <c r="B14" s="127"/>
      <c r="C14" s="107"/>
      <c r="D14" s="127"/>
      <c r="E14" s="127"/>
      <c r="F14" s="116"/>
    </row>
    <row r="15" spans="1:8" ht="59.5" customHeight="1"/>
    <row r="16" spans="1:8" ht="59.5" customHeight="1"/>
  </sheetData>
  <conditionalFormatting sqref="F2:F13">
    <cfRule type="cellIs" dxfId="25" priority="16" operator="equal">
      <formula>"Low"</formula>
    </cfRule>
    <cfRule type="cellIs" dxfId="24" priority="17" operator="equal">
      <formula>"Medium"</formula>
    </cfRule>
    <cfRule type="cellIs" dxfId="23" priority="18" operator="equal">
      <formula>"High"</formula>
    </cfRule>
    <cfRule type="cellIs" dxfId="22" priority="19" operator="equal">
      <formula>"High, Low, Medium"</formula>
    </cfRule>
    <cfRule type="cellIs" dxfId="21" priority="20" operator="equal">
      <formula>"Critical"</formula>
    </cfRule>
    <cfRule type="cellIs" dxfId="20" priority="21" operator="equal">
      <formula>"Low"</formula>
    </cfRule>
    <cfRule type="cellIs" dxfId="19" priority="22" operator="equal">
      <formula>"Critical"</formula>
    </cfRule>
    <cfRule type="cellIs" dxfId="18" priority="23" operator="equal">
      <formula>"Critical"</formula>
    </cfRule>
    <cfRule type="cellIs" dxfId="17" priority="24" operator="equal">
      <formula>"Low"</formula>
    </cfRule>
    <cfRule type="cellIs" dxfId="16" priority="25" operator="equal">
      <formula>"Critical"</formula>
    </cfRule>
    <cfRule type="cellIs" dxfId="15" priority="26" operator="equal">
      <formula>"Critical"</formula>
    </cfRule>
    <cfRule type="cellIs" dxfId="14" priority="4" operator="equal">
      <formula>"Low"</formula>
    </cfRule>
    <cfRule type="cellIs" dxfId="13" priority="3" operator="equal">
      <formula>"Medium"</formula>
    </cfRule>
    <cfRule type="cellIs" dxfId="12" priority="2" operator="equal">
      <formula>"High"</formula>
    </cfRule>
    <cfRule type="cellIs" dxfId="11" priority="1" operator="equal">
      <formula>"Critical"</formula>
    </cfRule>
  </conditionalFormatting>
  <conditionalFormatting sqref="G2">
    <cfRule type="cellIs" dxfId="10" priority="5" operator="equal">
      <formula>"Low"</formula>
    </cfRule>
    <cfRule type="cellIs" dxfId="9" priority="6" operator="equal">
      <formula>"Medium"</formula>
    </cfRule>
    <cfRule type="cellIs" dxfId="8" priority="7" operator="equal">
      <formula>"High"</formula>
    </cfRule>
    <cfRule type="cellIs" dxfId="7" priority="8" operator="equal">
      <formula>"High, Low, Medium"</formula>
    </cfRule>
    <cfRule type="cellIs" dxfId="6" priority="9" operator="equal">
      <formula>"Critical"</formula>
    </cfRule>
    <cfRule type="cellIs" dxfId="5" priority="10" operator="equal">
      <formula>"Low"</formula>
    </cfRule>
    <cfRule type="cellIs" dxfId="4" priority="11" operator="equal">
      <formula>"Critical"</formula>
    </cfRule>
    <cfRule type="cellIs" dxfId="3" priority="12" operator="equal">
      <formula>"Critical"</formula>
    </cfRule>
    <cfRule type="cellIs" dxfId="2" priority="13" operator="equal">
      <formula>"Low"</formula>
    </cfRule>
    <cfRule type="cellIs" dxfId="1" priority="14" operator="equal">
      <formula>"Critical"</formula>
    </cfRule>
    <cfRule type="cellIs" dxfId="0" priority="15" operator="equal">
      <formula>"Critical"</formula>
    </cfRule>
  </conditionalFormatting>
  <dataValidations count="1">
    <dataValidation type="list" allowBlank="1" showInputMessage="1" showErrorMessage="1" sqref="F2:F13" xr:uid="{A6FB319F-4D4A-4ABD-86A4-4B3E0EA2A6AA}">
      <formula1>"Critical, High, Medium, Low"</formula1>
    </dataValidation>
  </dataValidations>
  <hyperlinks>
    <hyperlink ref="H11" r:id="rId1" xr:uid="{35502359-167B-4CF7-9F7B-A44D04808C45}"/>
    <hyperlink ref="H13" r:id="rId2" xr:uid="{B8FF56A8-211A-424B-BEC7-50865FC324D9}"/>
  </hyperlinks>
  <pageMargins left="0.7" right="0.7" top="0.75" bottom="0.75" header="0.3" footer="0.3"/>
  <pageSetup orientation="portrait" r:id="rId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Mind Maps </vt:lpstr>
      <vt:lpstr>TestCase</vt:lpstr>
      <vt:lpstr>Test Summary Report</vt:lpstr>
      <vt:lpstr>Bug Report</vt:lpstr>
      <vt:lpstr>Remember_Me_checkbox_error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MASUD PARVEZ</dc:creator>
  <cp:lastModifiedBy>imratul islam</cp:lastModifiedBy>
  <dcterms:created xsi:type="dcterms:W3CDTF">2022-05-29T18:57:31Z</dcterms:created>
  <dcterms:modified xsi:type="dcterms:W3CDTF">2025-12-06T07:11:12Z</dcterms:modified>
</cp:coreProperties>
</file>